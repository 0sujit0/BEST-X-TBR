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Questions" sheetId="2" state="visible" r:id="rId4"/>
    <sheet name="Options" sheetId="3" state="visible" r:id="rId5"/>
    <sheet name="Summary" sheetId="4" state="visible" r:id="rId6"/>
  </sheets>
  <definedNames>
    <definedName function="false" hidden="true" localSheetId="2" name="_xlnm._FilterDatabase" vbProcedure="false">Options!$A$1:$G$52</definedName>
    <definedName function="false" hidden="true" localSheetId="1" name="_xlnm._FilterDatabase" vbProcedure="false">Questions!$A$1:$P$19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<sst xmlns="http://schemas.openxmlformats.org/spreadsheetml/2006/main" count="530" uniqueCount="344">
  <si>
    <t xml:space="preserve">BEST Platform — Open Questions</t>
  </si>
  <si>
    <t xml:space="preserve">Purpose</t>
  </si>
  <si>
    <t xml:space="preserve">Work through these with the BEST team, record their answers, then share the file back with the Chief PM to turn answers into logged decisions.</t>
  </si>
  <si>
    <t xml:space="preserve">Baseline</t>
  </si>
  <si>
    <t xml:space="preserve">BEST PRD – Final Rollout (unrevised as of 8 Oct 2026). Generated 9 Oct 2026 from open-questions.md in BEST-X-TBR.</t>
  </si>
  <si>
    <t xml:space="preserve">Questions tab</t>
  </si>
  <si>
    <t xml:space="preserve">One row per question. Read 'Ask BEST' aloud; 'Options' lists the choices. Full trade-offs are on the Options tab.</t>
  </si>
  <si>
    <t xml:space="preserve">Cells to fill in</t>
  </si>
  <si>
    <t xml:space="preserve">Pale yellow columns only: Chosen option, BEST's answer / notes, Answered by, Date, Follow-up needed, Status.</t>
  </si>
  <si>
    <t xml:space="preserve">Internal column</t>
  </si>
  <si>
    <t xml:space="preserve">Grey column 'TBR recommendation (internal)' is our view. Use the [–] button above it to collapse it before sharing your screen with BEST.</t>
  </si>
  <si>
    <t xml:space="preserve">Status values</t>
  </si>
  <si>
    <t xml:space="preserve">Open · Answered · Needs follow-up · Parked</t>
  </si>
  <si>
    <t xml:space="preserve">⚑</t>
  </si>
  <si>
    <t xml:space="preserve">Blocks PRD sign-off. Close these first, starting with Q-01, Q-02, Q-03 and Q-07.</t>
  </si>
  <si>
    <t xml:space="preserve">Example of a filled row</t>
  </si>
  <si>
    <t xml:space="preserve">Q-13 → Chosen option: C · Answer: "Scheduling team uses a shared calendar; no API. Manual entry is fine for pilot." · Answered by: [name], BEST Ops · Date: 15-Oct-2026 · Follow-up: No · Status: Answered</t>
  </si>
  <si>
    <t xml:space="preserve">Legend</t>
  </si>
  <si>
    <t xml:space="preserve">Fill in</t>
  </si>
  <si>
    <t xml:space="preserve">Internal (TBR only)</t>
  </si>
  <si>
    <t xml:space="preserve">ID</t>
  </si>
  <si>
    <t xml:space="preserve">Question</t>
  </si>
  <si>
    <t xml:space="preserve">Why it matters</t>
  </si>
  <si>
    <t xml:space="preserve">PRD refs</t>
  </si>
  <si>
    <t xml:space="preserve">Owner</t>
  </si>
  <si>
    <t xml:space="preserve">Depends on</t>
  </si>
  <si>
    <t xml:space="preserve">Ask BEST</t>
  </si>
  <si>
    <t xml:space="preserve">Options</t>
  </si>
  <si>
    <t xml:space="preserve">TBR recommendation (internal)</t>
  </si>
  <si>
    <t xml:space="preserve">Chosen option</t>
  </si>
  <si>
    <t xml:space="preserve">BEST's answer / notes</t>
  </si>
  <si>
    <t xml:space="preserve">Answered by</t>
  </si>
  <si>
    <t xml:space="preserve">Date</t>
  </si>
  <si>
    <t xml:space="preserve">Follow-up needed</t>
  </si>
  <si>
    <t xml:space="preserve">Status</t>
  </si>
  <si>
    <t xml:space="preserve">Q-01</t>
  </si>
  <si>
    <t xml:space="preserve">In-session experience: live indicators and alerts</t>
  </si>
  <si>
    <t xml:space="preserve">The single biggest driver of scope, regulatory risk, device choice and timeline. The PRD contradicts itself.</t>
  </si>
  <si>
    <t xml:space="preserve">§3, §8.5, §8.6, §11 (soft alerts in MVP) vs §19.5 (never trigger alerts or prompts during live sessions)</t>
  </si>
  <si>
    <t xml:space="preserve">BEST + TBR</t>
  </si>
  <si>
    <t xml:space="preserve">Q-02, Q-03</t>
  </si>
  <si>
    <t xml:space="preserve">During a session, what must the therapist see: live indicators, soft alerts, or is a post-session summary enough? Is live awareness the core reason for this product?</t>
  </si>
  <si>
    <t xml:space="preserve">A. Post-session only
B. Live indicators, no alerts
C. Indicators + soft alerts (PRD as written)</t>
  </si>
  <si>
    <t xml:space="preserve">A for MVP; B and C gated on counsel's opinion (Q-02). If BEST says live awareness is the reason they're buying, B with counsel fast-tracked in parallel.</t>
  </si>
  <si>
    <t xml:space="preserve">Open</t>
  </si>
  <si>
    <t xml:space="preserve">Q-02</t>
  </si>
  <si>
    <t xml:space="preserve">Regulatory pathway and FDA classification</t>
  </si>
  <si>
    <t xml:space="preserve">FDA's January 2026 CDS guidance keeps software that analyses signals or patterns from continuous measurements, or makes time-sensitive outputs, under oversight. Wellness positioning requires no disease or clinical-management claims — hard for a clinical tool used in autism therapy.</t>
  </si>
  <si>
    <t xml:space="preserve">§5, §14, §19 (all written to stay non-diagnostic)</t>
  </si>
  <si>
    <t xml:space="preserve">BEST</t>
  </si>
  <si>
    <t xml:space="preserve">—</t>
  </si>
  <si>
    <t xml:space="preserve">Has BEST engaged FDA regulatory counsel? Can we get a written opinion on live alerts and trend indicators before we build them?</t>
  </si>
  <si>
    <t xml:space="preserve">A. Written opinion from FDA regulatory counsel before building in-session features
B. FDA Pre-Submission (Q-Sub) meeting
C. Proceed on internal interpretation</t>
  </si>
  <si>
    <t xml:space="preserve">A now; B only if counsel flags a grey zone. Build Option A of Q-01 while waiting. *Not legal advice — this is the product call pending counsel.*</t>
  </si>
  <si>
    <t xml:space="preserve">Q-03</t>
  </si>
  <si>
    <t xml:space="preserve">Wearable selection and validation</t>
  </si>
  <si>
    <t xml:space="preserve">Sensory-sensitive children may refuse to wear devices. Consumer readings in children can be unreliable. Vendor must sign a BAA (§15.1). Sync interval determines whether "live" is possible.</t>
  </si>
  <si>
    <t xml:space="preserve">§8.4 (vendor-agnostic, read-only, consent-based, periodic sync), §17.2 (over-reliance on wearables)</t>
  </si>
  <si>
    <t xml:space="preserve">Which wearable does BEST have in mind? Can we run a short comfort and data-quality test with a few children at a BEST clinic?</t>
  </si>
  <si>
    <t xml:space="preserve">A. Pick one vendor now
B. Vendor-agnostic layer + tolerance test of 2 shortlisted devices
C. Defer devices — manual-only MVP</t>
  </si>
  <si>
    <t xml:space="preserve">B. If Q-01 lands on A, sync interval stops being a hard criterion.</t>
  </si>
  <si>
    <t xml:space="preserve">Q-04</t>
  </si>
  <si>
    <t xml:space="preserve">North Star Metric</t>
  </si>
  <si>
    <t xml:space="preserve">No target means no way to judge the pilot. §10 lists metrics without baselines or targets.</t>
  </si>
  <si>
    <t xml:space="preserve">§10 (metrics listed, no targets or baselines)</t>
  </si>
  <si>
    <t xml:space="preserve">What single result would tell BEST this product is working?</t>
  </si>
  <si>
    <t xml:space="preserve">A. Weekly active therapists
B. % of sessions with a therapist-reviewed summary
C. Documentation time saved per session
D. % of sessions reviewed by a supervisor</t>
  </si>
  <si>
    <t xml:space="preserve">B as North Star, C as guard metric. Measure the documentation-time baseline before the pilot. Revisit if Q-01 goes to C (then alert relevance matters).</t>
  </si>
  <si>
    <t xml:space="preserve">Q-05</t>
  </si>
  <si>
    <t xml:space="preserve">Delivery timeline structure</t>
  </si>
  <si>
    <t xml:space="preserve">Timeline depends on scope (Q-01, Q-07) and regulatory answers (Q-02).</t>
  </si>
  <si>
    <t xml:space="preserve">A draft M1–M7 Gantt was produced on 2026-10-05. Treat it as draft until Q-01 and Q-07 close.</t>
  </si>
  <si>
    <t xml:space="preserve">TBR</t>
  </si>
  <si>
    <t xml:space="preserve">Q-01, Q-07</t>
  </si>
  <si>
    <t xml:space="preserve">Are there fixed dates BEST must hit, or can we plan around go/no-go gates?</t>
  </si>
  <si>
    <t xml:space="preserve">A. Fixed date, flexible scope
B. Fixed scope, flexible date
C. Gate-based milestones with target windows</t>
  </si>
  <si>
    <t xml:space="preserve">C — gates at counsel opinion, device test, pilot exit.</t>
  </si>
  <si>
    <t xml:space="preserve">Q-06</t>
  </si>
  <si>
    <t xml:space="preserve">Stakeholders and decision rights</t>
  </si>
  <si>
    <t xml:space="preserve">Decisions stall without a named owner and clinical lead.</t>
  </si>
  <si>
    <t xml:space="preserve">Who is the accountable product owner at BEST, who is the clinical lead, and who signs off the PRD and final acceptance?</t>
  </si>
  <si>
    <t xml:space="preserve">A. One accountable product owner at BEST, with a named clinical advisor
B. Steering committee</t>
  </si>
  <si>
    <t xml:space="preserve">A, plus a named clinical lead (BCBA) for Q-11 and Q-17 sign-offs.</t>
  </si>
  <si>
    <t xml:space="preserve">Q-07</t>
  </si>
  <si>
    <t xml:space="preserve">Pilot customer and commercial scope</t>
  </si>
  <si>
    <t xml:space="preserve">Admin, billing and back-office requirements outweigh the clinical core. Building all of it before proving therapist value delays learning.</t>
  </si>
  <si>
    <t xml:space="preserve">§3, §8.9, §8.10, §11 (full licensing, billing, finance console and expense controls in MVP)</t>
  </si>
  <si>
    <t xml:space="preserve">Who is the pilot customer (BEST's own clinics or a paying external organisation), and what result decides go/no-go? Are billing and payments needed for the pilot?</t>
  </si>
  <si>
    <t xml:space="preserve">A. Full SaaS shell in MVP (PRD as written)
B. Pilot in BEST's own clinics; minimal org admin; defer billing, payments, finance console, expense controls
C. Multi-tenant + org admin + licensing; defer billing and payments</t>
  </si>
  <si>
    <t xml:space="preserve">B if the pilot is BEST's own clinics; C if it's a paying external organisation.</t>
  </si>
  <si>
    <t xml:space="preserve">Q-08</t>
  </si>
  <si>
    <t xml:space="preserve">"Clinical decision making (basic)"</t>
  </si>
  <si>
    <t xml:space="preserve">Contradicts the PRD's own rule of no clinical recommendations, and is a regulatory red flag.</t>
  </si>
  <si>
    <t xml:space="preserve">§3 and §11 (in MVP) vs §5.1 (no clinical recommendations), §13.2 (no automated decision making)</t>
  </si>
  <si>
    <t xml:space="preserve">What did BEST intend by "clinical decision making (basic)" in the MVP scope?</t>
  </si>
  <si>
    <t xml:space="preserve">A. Remove the phrase
B. Redefine as "structured observation and documentation support"
C. Keep as written</t>
  </si>
  <si>
    <t xml:space="preserve">A or B. Ask BEST what they intended.</t>
  </si>
  <si>
    <t xml:space="preserve">Q-09</t>
  </si>
  <si>
    <t xml:space="preserve">AI scope in the MVP</t>
  </si>
  <si>
    <t xml:space="preserve">PRD sections disagree on which AI features are MVP.</t>
  </si>
  <si>
    <t xml:space="preserve">§14.2 (MVP: trend highlighting, cross-session comparison, adaptive alert tuning) vs §11 (pattern detection is Phase 2) vs §19 (unphased)</t>
  </si>
  <si>
    <t xml:space="preserve">For the MVP, is AI-drafted session summaries enough, or are pattern prompts and alert tuning expected from day one?</t>
  </si>
  <si>
    <t xml:space="preserve">A. Summary drafting only
B. A + post-session pattern prompts (§19)
C. Full §14.2 including adaptive alert tuning</t>
  </si>
  <si>
    <t xml:space="preserve">A for MVP; B in Phase 2 once enough sessions exist, matching §11.</t>
  </si>
  <si>
    <t xml:space="preserve">Q-10</t>
  </si>
  <si>
    <t xml:space="preserve">Consent for the child's data and AI training</t>
  </si>
  <si>
    <t xml:space="preserve">Parents are non-users yet must consent for the child. The PRD defines no consent store.</t>
  </si>
  <si>
    <t xml:space="preserve">§8.4 (consent-based), §14.4 (BEST historical data may train AI), §20.6 (telehealth consent). Parents are listed as non-users (§4). No consent store is specified.</t>
  </si>
  <si>
    <t xml:space="preserve">Who gives consent for the child's data today, how is it recorded, and does it cover using data for AI training?</t>
  </si>
  <si>
    <t xml:space="preserve">A. Consent captured outside the app; admin attests in-app
B. Digital consent captured at client onboarding by Org Admin, stored in an in-app consent store
C. Per-session consent by therapist</t>
  </si>
  <si>
    <t xml:space="preserve">B, with separate opt-ins for AI training and telehealth. Needs BEST's legal review.</t>
  </si>
  <si>
    <t xml:space="preserve">Q-11</t>
  </si>
  <si>
    <t xml:space="preserve">SpO₂ and "stress" language</t>
  </si>
  <si>
    <t xml:space="preserve">SpO₂ is collected but never displayed. "Stress" reads as a clinical claim.</t>
  </si>
  <si>
    <t xml:space="preserve">§8.4 (collects SpO₂), §8.5 (never displays it), §8.8 ("stress trends" in summary)</t>
  </si>
  <si>
    <t xml:space="preserve">Is SpO₂ needed in the MVP? Can "stress trends" be renamed "heart rate trends"?</t>
  </si>
  <si>
    <t xml:space="preserve">A. Drop SpO₂ from MVP; rename "stress trends" → "heart rate trends"
B. Collect SpO₂ but don't display; keep "stress"</t>
  </si>
  <si>
    <t xml:space="preserve">A. Clinical lead to confirm wording.</t>
  </si>
  <si>
    <t xml:space="preserve">Q-12</t>
  </si>
  <si>
    <t xml:space="preserve">Telehealth in the MVP</t>
  </si>
  <si>
    <t xml:space="preserve">Big scope add (video vendor, consent, home device handling) and missing from §11 phasing.</t>
  </si>
  <si>
    <t xml:space="preserve">§20.3 (in MVP) vs §11 (not in phasing). At home, someone must put the wearable on the child — but parents are non-users.</t>
  </si>
  <si>
    <t xml:space="preserve">Q-03, Q-10</t>
  </si>
  <si>
    <t xml:space="preserve">Does BEST run remote sessions today, and at what volume? Who would put the wearable on the child at home?</t>
  </si>
  <si>
    <t xml:space="preserve">A. Full telehealth in MVP
B. Telehealth MVP without wearables (manual notes and markers only)
C. Phase 2</t>
  </si>
  <si>
    <t xml:space="preserve">C, or B if BEST already runs remote sessions at volume.</t>
  </si>
  <si>
    <t xml:space="preserve">Q-13</t>
  </si>
  <si>
    <t xml:space="preserve">Session scheduling source</t>
  </si>
  <si>
    <t xml:space="preserve">Sessions can't start without schedules; the source system is undefined.</t>
  </si>
  <si>
    <t xml:space="preserve">§8.2 ("Session scheduling (scheduling Dept)") — no integration defined</t>
  </si>
  <si>
    <t xml:space="preserve">What system does the scheduling department use today, and does it have an API?</t>
  </si>
  <si>
    <t xml:space="preserve">A. Integrate with BEST's existing scheduling system
B. CSV import
C. Manual entry in-app</t>
  </si>
  <si>
    <t xml:space="preserve">C or B for pilot, A later.</t>
  </si>
  <si>
    <t xml:space="preserve">Q-14</t>
  </si>
  <si>
    <t xml:space="preserve">Organization Admin access to clinical data</t>
  </si>
  <si>
    <t xml:space="preserve">Least-privilege access to PHI; the PRD is silent on admin clinical access.</t>
  </si>
  <si>
    <t xml:space="preserve">§15.3, §18.2 (scope is "own organization" — clinical data not addressed)</t>
  </si>
  <si>
    <t xml:space="preserve">Should Organization Admins see any clinical session data, or only users, clients and settings?</t>
  </si>
  <si>
    <t xml:space="preserve">A. No clinical access by default
B. Read-only summaries
C. Full access</t>
  </si>
  <si>
    <t xml:space="preserve">A — clinical access only if the person also holds a clinical role.</t>
  </si>
  <si>
    <t xml:space="preserve">Q-15</t>
  </si>
  <si>
    <t xml:space="preserve">Break-glass access to PHI</t>
  </si>
  <si>
    <t xml:space="preserve">HIPAA governance for emergency PHI access; approver and limits not named.</t>
  </si>
  <si>
    <t xml:space="preserve">§8.10, §15.3, §18.3 (reason, approval, scope, expiry, audit — but no approver or limits named)</t>
  </si>
  <si>
    <t xml:space="preserve">Who should approve emergency access to patient data, for how long, and must the customer be notified?</t>
  </si>
  <si>
    <t xml:space="preserve">A. BEST security lead approves
B. Customer Org Admin approves
C. Dual approval; customer notified; short time-box</t>
  </si>
  <si>
    <t xml:space="preserve">C, subject to what customer BAAs allow.</t>
  </si>
  <si>
    <t xml:space="preserve">Q-16</t>
  </si>
  <si>
    <t xml:space="preserve">Ownership of plans and entitlements</t>
  </si>
  <si>
    <t xml:space="preserve">Two PRD sections assign plan ownership differently.</t>
  </si>
  <si>
    <t xml:space="preserve">§8.10 (Platform Admin manages plans) vs §18.2 (Finance manages plans; Platform Admin manages entitlements)</t>
  </si>
  <si>
    <t xml:space="preserve">Who owns plans and pricing (Finance) versus entitlements and configuration (Platform Admin)?</t>
  </si>
  <si>
    <t xml:space="preserve">A. Split as §18.2: Finance owns plans and pricing, Platform Admin owns entitlements and config
B. Single owner</t>
  </si>
  <si>
    <t xml:space="preserve">A, with each side approving the other's changes that affect them.</t>
  </si>
  <si>
    <t xml:space="preserve">Q-17</t>
  </si>
  <si>
    <t xml:space="preserve">Placeholder thresholds</t>
  </si>
  <si>
    <t xml:space="preserve">A vendor can't build or test against words.</t>
  </si>
  <si>
    <t xml:space="preserve">"sustained trends" (§8.6), "≥ N sessions" (§19.8), "minimum session count" (§19.7), "acceptable latency" (§9)</t>
  </si>
  <si>
    <t xml:space="preserve">Who at BEST will sign off default values for "sustained trend", minimum session count and acceptable delay?</t>
  </si>
  <si>
    <t xml:space="preserve">A. Fix values in the PRD now
B. Configurable parameters with defaults signed off by BEST's clinical lead, tuned in pilot
C. Leave to the developers</t>
  </si>
  <si>
    <t xml:space="preserve">B.</t>
  </si>
  <si>
    <t xml:space="preserve">Q-18</t>
  </si>
  <si>
    <t xml:space="preserve">Platform Admin vs SRE</t>
  </si>
  <si>
    <t xml:space="preserve">Combined role gives broad standing access; PRD sections disagree.</t>
  </si>
  <si>
    <t xml:space="preserve">§8.10 (separate permission profiles) vs §18.2 (one combined role)</t>
  </si>
  <si>
    <t xml:space="preserve">Is it acceptable to split Platform Admin and SRE into separate roles?</t>
  </si>
  <si>
    <t xml:space="preserve">A. Separate roles
B. Combined (as §18.2)</t>
  </si>
  <si>
    <t xml:space="preserve">A.</t>
  </si>
  <si>
    <t xml:space="preserve">Option</t>
  </si>
  <si>
    <t xml:space="preserve">Name</t>
  </si>
  <si>
    <t xml:space="preserve">What it means</t>
  </si>
  <si>
    <t xml:space="preserve">Gains</t>
  </si>
  <si>
    <t xml:space="preserve">Costs</t>
  </si>
  <si>
    <t xml:space="preserve">TBR pick</t>
  </si>
  <si>
    <t xml:space="preserve">A</t>
  </si>
  <si>
    <t xml:space="preserve">Post-session only</t>
  </si>
  <si>
    <t xml:space="preserve">In session: notes, markers, device status. All wearable data shown afterwards on a timeline aligned to markers.</t>
  </si>
  <si>
    <t xml:space="preserve">Lowest regulatory exposure. Periodic sync (§8.4) is enough, so wider vendor choice. Simplest build, no alert tuning. Cleanly tests whether therapists value the data at all.</t>
  </si>
  <si>
    <t xml:space="preserve">Drops the §2 promise of "awareness during sessions". Value arrives only after the session. BEST may see it as diluted. Least differentiated.</t>
  </si>
  <si>
    <t xml:space="preserve">✓</t>
  </si>
  <si>
    <t xml:space="preserve">B</t>
  </si>
  <si>
    <t xml:space="preserve">Live indicators, no alerts</t>
  </si>
  <si>
    <t xml:space="preserve">§8.5 rising / stable / settling indicators. No push alerts.</t>
  </si>
  <si>
    <t xml:space="preserve">Keeps live awareness, therapist stays in control.</t>
  </si>
  <si>
    <t xml:space="preserve">Still real-time interpretation of continuous signals — in the FDA's watch zone. Needs a latency target and fast-syncing vendor; a stale "stable" is a trust problem. Real-time age-aware baselines (§5.2) are real engineering. Therapist attention is on the child, not the screen.</t>
  </si>
  <si>
    <t xml:space="preserve">C</t>
  </si>
  <si>
    <t xml:space="preserve">Indicators + soft alerts (PRD as written)</t>
  </si>
  <si>
    <t xml:space="preserve">§8.5 + §8.6 in full.</t>
  </si>
  <si>
    <t xml:space="preserve">The full vision. Strongest differentiation.</t>
  </si>
  <si>
    <t xml:space="preserve">Highest regulatory risk — pushing an alert about a child to a clinician is the clearest step toward device classification. Liability for false or missed alerts. Tightest latency. Needs validated wearables. §19.5 contradiction must be resolved.</t>
  </si>
  <si>
    <t xml:space="preserve">Written opinion from FDA regulatory counsel before building in-session features</t>
  </si>
  <si>
    <t xml:space="preserve">Authoritative answer. Protects BEST and TBR. Cheap relative to rework.</t>
  </si>
  <si>
    <t xml:space="preserve">Takes weeks. Counsel cost (budget is confidential — Sujit to confirm).</t>
  </si>
  <si>
    <t xml:space="preserve">FDA Pre-Submission (Q-Sub) meeting</t>
  </si>
  <si>
    <t xml:space="preserve">Answer from FDA itself.</t>
  </si>
  <si>
    <t xml:space="preserve">Months, not weeks. Only worth it if counsel says it's a grey zone.</t>
  </si>
  <si>
    <t xml:space="preserve">Proceed on internal interpretation</t>
  </si>
  <si>
    <t xml:space="preserve">No delay.</t>
  </si>
  <si>
    <t xml:space="preserve">Full regulatory risk sits with BEST, and with TBR's delivery. Not defensible if challenged.</t>
  </si>
  <si>
    <t xml:space="preserve">Pick one vendor now</t>
  </si>
  <si>
    <t xml:space="preserve">Fastest to integrate.</t>
  </si>
  <si>
    <t xml:space="preserve">Single point of failure. May not suit every child.</t>
  </si>
  <si>
    <t xml:space="preserve">Vendor-agnostic layer + tolerance test of 2 shortlisted devices</t>
  </si>
  <si>
    <t xml:space="preserve">Matches §8.4. Real evidence from children before commitment.</t>
  </si>
  <si>
    <t xml:space="preserve">A few weeks of testing at a BEST clinic. Needs consent for the test.</t>
  </si>
  <si>
    <t xml:space="preserve">Defer devices — manual-only MVP</t>
  </si>
  <si>
    <t xml:space="preserve">No device risk at all.</t>
  </si>
  <si>
    <t xml:space="preserve">Removes the core differentiator. Barely a product.</t>
  </si>
  <si>
    <t xml:space="preserve">Weekly active therapists</t>
  </si>
  <si>
    <t xml:space="preserve">Easy to measure.</t>
  </si>
  <si>
    <t xml:space="preserve">Measures logins, not value.</t>
  </si>
  <si>
    <t xml:space="preserve">% of sessions with a therapist-reviewed summary</t>
  </si>
  <si>
    <t xml:space="preserve">Tied to the documentation value. Works under any Q-01 option.</t>
  </si>
  <si>
    <t xml:space="preserve">Can be rubber-stamped — needs a guard metric.</t>
  </si>
  <si>
    <t xml:space="preserve">Documentation time saved per session</t>
  </si>
  <si>
    <t xml:space="preserve">Closest to real value.</t>
  </si>
  <si>
    <t xml:space="preserve">Needs a baseline measured before the pilot starts.</t>
  </si>
  <si>
    <t xml:space="preserve">D</t>
  </si>
  <si>
    <t xml:space="preserve">% of sessions reviewed by a supervisor</t>
  </si>
  <si>
    <t xml:space="preserve">Captures supervisor value.</t>
  </si>
  <si>
    <t xml:space="preserve">Secondary — depends on therapists first.</t>
  </si>
  <si>
    <t xml:space="preserve">Fixed date, flexible scope</t>
  </si>
  <si>
    <t xml:space="preserve">Predictable for BEST.</t>
  </si>
  <si>
    <t xml:space="preserve">Constant scope negotiation.</t>
  </si>
  <si>
    <t xml:space="preserve">Fixed scope, flexible date</t>
  </si>
  <si>
    <t xml:space="preserve">Complete product.</t>
  </si>
  <si>
    <t xml:space="preserve">Unpredictable — risky with regulatory unknowns.</t>
  </si>
  <si>
    <t xml:space="preserve">Gate-based milestones with target windows</t>
  </si>
  <si>
    <t xml:space="preserve">Honest about unknowns (counsel, device test, pilot results). Clear go/no-go points.</t>
  </si>
  <si>
    <t xml:space="preserve">BEST may want hard dates.</t>
  </si>
  <si>
    <t xml:space="preserve">One accountable product owner at BEST, with a named clinical advisor</t>
  </si>
  <si>
    <t xml:space="preserve">Fast decisions. Clear accountability.</t>
  </si>
  <si>
    <t xml:space="preserve">Load on one person.</t>
  </si>
  <si>
    <t xml:space="preserve">Steering committee</t>
  </si>
  <si>
    <t xml:space="preserve">Broad buy-in.</t>
  </si>
  <si>
    <t xml:space="preserve">Slow. Decisions get diluted.</t>
  </si>
  <si>
    <t xml:space="preserve">Full SaaS shell in MVP (PRD as written)</t>
  </si>
  <si>
    <t xml:space="preserve">Sellable from day one.</t>
  </si>
  <si>
    <t xml:space="preserve">Heaviest build. Clinical validation comes last.</t>
  </si>
  <si>
    <t xml:space="preserve">Pilot in BEST's own clinics; minimal org admin; defer billing, payments, finance console, expense controls</t>
  </si>
  <si>
    <t xml:space="preserve">Fastest to clinical value.</t>
  </si>
  <si>
    <t xml:space="preserve">Commercial launch later. Architecture must still be multi-tenant from day one.</t>
  </si>
  <si>
    <t xml:space="preserve">Multi-tenant + org admin + licensing; defer billing and payments</t>
  </si>
  <si>
    <t xml:space="preserve">Ready for a first external customer without the finance stack.</t>
  </si>
  <si>
    <t xml:space="preserve">Middle on both.</t>
  </si>
  <si>
    <t xml:space="preserve">Remove the phrase</t>
  </si>
  <si>
    <t xml:space="preserve">Removes the contradiction and a regulatory red flag.</t>
  </si>
  <si>
    <t xml:space="preserve">None, if it never meant anything specific.</t>
  </si>
  <si>
    <t xml:space="preserve">Redefine as "structured observation and documentation support"</t>
  </si>
  <si>
    <t xml:space="preserve">Keeps intent in safe language.</t>
  </si>
  <si>
    <t xml:space="preserve">Needs BEST to confirm that's what they meant.</t>
  </si>
  <si>
    <t xml:space="preserve">Keep as written</t>
  </si>
  <si>
    <t xml:space="preserve">Undefined, contradictory, and a gift to a regulator.</t>
  </si>
  <si>
    <t xml:space="preserve">Summary drafting only</t>
  </si>
  <si>
    <t xml:space="preserve">Lowest risk. Directly cuts documentation effort.</t>
  </si>
  <si>
    <t xml:space="preserve">Less "AI" to show.</t>
  </si>
  <si>
    <t xml:space="preserve">A + post-session pattern prompts (§19)</t>
  </si>
  <si>
    <t xml:space="preserve">Distinctive insight.</t>
  </si>
  <si>
    <t xml:space="preserve">Patterns need ≥ N completed sessions per child — little to show early in a pilot anyway.</t>
  </si>
  <si>
    <t xml:space="preserve">Full §14.2 including adaptive alert tuning</t>
  </si>
  <si>
    <t xml:space="preserve">Full vision.</t>
  </si>
  <si>
    <t xml:space="preserve">Only meaningful if Q-01 = C. Highest risk.</t>
  </si>
  <si>
    <t xml:space="preserve">Consent captured outside the app; admin attests in-app</t>
  </si>
  <si>
    <t xml:space="preserve">Uses BEST's existing intake process.</t>
  </si>
  <si>
    <t xml:space="preserve">Weak audit trail.</t>
  </si>
  <si>
    <t xml:space="preserve">Digital consent captured at client onboarding by Org Admin, stored in an in-app consent store</t>
  </si>
  <si>
    <t xml:space="preserve">Auditable, timestamped, role-linked (as §20.6 requires).</t>
  </si>
  <si>
    <t xml:space="preserve">Needs a consent-store feature the PRD doesn't define.</t>
  </si>
  <si>
    <t xml:space="preserve">Per-session consent by therapist</t>
  </si>
  <si>
    <t xml:space="preserve">Very granular.</t>
  </si>
  <si>
    <t xml:space="preserve">Heavy friction every session.</t>
  </si>
  <si>
    <t xml:space="preserve">Drop SpO₂ from MVP; rename "stress trends" → "heart rate trends"</t>
  </si>
  <si>
    <t xml:space="preserve">Data minimisation. Removes a clinical-sounding claim.</t>
  </si>
  <si>
    <t xml:space="preserve">Loses a signal BEST may want later.</t>
  </si>
  <si>
    <t xml:space="preserve">Collect SpO₂ but don't display; keep "stress"</t>
  </si>
  <si>
    <t xml:space="preserve">Keeps data for later.</t>
  </si>
  <si>
    <t xml:space="preserve">Collecting PHI with no use. "Stress" reads as interpretation.</t>
  </si>
  <si>
    <t xml:space="preserve">Full telehealth in MVP</t>
  </si>
  <si>
    <t xml:space="preserve">Matches §20.</t>
  </si>
  <si>
    <t xml:space="preserve">Video vendor with BAA, consent flow, home device handling. Big scope add.</t>
  </si>
  <si>
    <t xml:space="preserve">Telehealth MVP without wearables (manual notes and markers only)</t>
  </si>
  <si>
    <t xml:space="preserve">Simple. §20.5 already makes signal overlays optional.</t>
  </si>
  <si>
    <t xml:space="preserve">Less data in remote sessions.</t>
  </si>
  <si>
    <t xml:space="preserve">Phase 2</t>
  </si>
  <si>
    <t xml:space="preserve">Keeps the MVP focused.</t>
  </si>
  <si>
    <t xml:space="preserve">Delays a modality BEST may need.</t>
  </si>
  <si>
    <t xml:space="preserve">Integrate with BEST's existing scheduling system</t>
  </si>
  <si>
    <t xml:space="preserve">No double entry.</t>
  </si>
  <si>
    <t xml:space="preserve">Depends on that system having an API.</t>
  </si>
  <si>
    <t xml:space="preserve">CSV import</t>
  </si>
  <si>
    <t xml:space="preserve">Cheap.</t>
  </si>
  <si>
    <t xml:space="preserve">Manual and error-prone.</t>
  </si>
  <si>
    <t xml:space="preserve">Manual entry in-app</t>
  </si>
  <si>
    <t xml:space="preserve">Simplest.</t>
  </si>
  <si>
    <t xml:space="preserve">Duplicate work for the scheduling team.</t>
  </si>
  <si>
    <t xml:space="preserve">No clinical access by default</t>
  </si>
  <si>
    <t xml:space="preserve">Least privilege.</t>
  </si>
  <si>
    <t xml:space="preserve">Admin can't help with clinical queries.</t>
  </si>
  <si>
    <t xml:space="preserve">Read-only summaries</t>
  </si>
  <si>
    <t xml:space="preserve">Some oversight.</t>
  </si>
  <si>
    <t xml:space="preserve">More PHI exposure.</t>
  </si>
  <si>
    <t xml:space="preserve">Full access</t>
  </si>
  <si>
    <t xml:space="preserve">Simple.</t>
  </si>
  <si>
    <t xml:space="preserve">Violates least privilege.</t>
  </si>
  <si>
    <t xml:space="preserve">BEST security lead approves</t>
  </si>
  <si>
    <t xml:space="preserve">Fast.</t>
  </si>
  <si>
    <t xml:space="preserve">Customer has no say.</t>
  </si>
  <si>
    <t xml:space="preserve">Customer Org Admin approves</t>
  </si>
  <si>
    <t xml:space="preserve">Customer control.</t>
  </si>
  <si>
    <t xml:space="preserve">Slow in an incident.</t>
  </si>
  <si>
    <t xml:space="preserve">Dual approval; customer notified; short time-box</t>
  </si>
  <si>
    <t xml:space="preserve">Strongest governance.</t>
  </si>
  <si>
    <t xml:space="preserve">Slightly slower.</t>
  </si>
  <si>
    <t xml:space="preserve">Split as §18.2: Finance owns plans and pricing, Platform Admin owns entitlements and config</t>
  </si>
  <si>
    <t xml:space="preserve">Separation of duties.</t>
  </si>
  <si>
    <t xml:space="preserve">Needs a hand-off between teams.</t>
  </si>
  <si>
    <t xml:space="preserve">Single owner</t>
  </si>
  <si>
    <t xml:space="preserve">Weaker controls.</t>
  </si>
  <si>
    <t xml:space="preserve">Fix values in the PRD now</t>
  </si>
  <si>
    <t xml:space="preserve">Testable.</t>
  </si>
  <si>
    <t xml:space="preserve">Hard to get right before real data.</t>
  </si>
  <si>
    <t xml:space="preserve">Configurable parameters with defaults signed off by BEST's clinical lead, tuned in pilot</t>
  </si>
  <si>
    <t xml:space="preserve">Testable and adjustable.</t>
  </si>
  <si>
    <t xml:space="preserve">Needs a governance step for changes.</t>
  </si>
  <si>
    <t xml:space="preserve">Leave to the developers</t>
  </si>
  <si>
    <t xml:space="preserve">Clinical decisions made by engineers.</t>
  </si>
  <si>
    <t xml:space="preserve">Separate roles</t>
  </si>
  <si>
    <t xml:space="preserve">Least privilege; matches §8.10.</t>
  </si>
  <si>
    <t xml:space="preserve">One more role to manage.</t>
  </si>
  <si>
    <t xml:space="preserve">Combined (as §18.2)</t>
  </si>
  <si>
    <t xml:space="preserve">Simpler for a small team.</t>
  </si>
  <si>
    <t xml:space="preserve">Broad standing access.</t>
  </si>
  <si>
    <t xml:space="preserve">Progress</t>
  </si>
  <si>
    <t xml:space="preserve">Measure</t>
  </si>
  <si>
    <t xml:space="preserve">All</t>
  </si>
  <si>
    <t xml:space="preserve">⚑ Blocks PRD</t>
  </si>
  <si>
    <t xml:space="preserve">Total questions</t>
  </si>
  <si>
    <t xml:space="preserve">Answered</t>
  </si>
  <si>
    <t xml:space="preserve">Needs follow-up</t>
  </si>
  <si>
    <t xml:space="preserve">Parked</t>
  </si>
  <si>
    <t xml:space="preserve">% answered</t>
  </si>
  <si>
    <t xml:space="preserve">By owner</t>
  </si>
  <si>
    <t xml:space="preserve">Total</t>
  </si>
  <si>
    <t xml:space="preserve">Still 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</si>
</sst>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7E6E6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ont>
        <name val="Calibri"/>
        <charset val="1"/>
        <family val="0"/>
        <color rgb="FF808080"/>
      </font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0</v>
      </c>
    </row>
    <row r="4" customFormat="false" ht="28.3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28.3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1" customFormat="false" ht="28.35" hidden="false" customHeight="false" outlineLevel="0" collapsed="false">
      <c r="B11" s="2" t="s">
        <v>15</v>
      </c>
      <c r="C11" s="3" t="s">
        <v>16</v>
      </c>
    </row>
    <row r="13" customFormat="false" ht="15" hidden="false" customHeight="false" outlineLevel="0" collapsed="false">
      <c r="B13" s="4" t="s">
        <v>17</v>
      </c>
    </row>
    <row r="14" customFormat="false" ht="15" hidden="false" customHeight="false" outlineLevel="0" collapsed="false">
      <c r="B14" s="5"/>
      <c r="C14" s="6" t="s">
        <v>18</v>
      </c>
    </row>
    <row r="15" customFormat="false" ht="15" hidden="false" customHeight="false" outlineLevel="0" collapsed="false">
      <c r="B15" s="7"/>
      <c r="C15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34"/>
    <col collapsed="false" customWidth="true" hidden="false" outlineLevel="1" max="10" min="10" style="0" width="44"/>
    <col collapsed="false" customWidth="true" hidden="false" outlineLevel="0" max="11" min="11" style="0" width="12"/>
    <col collapsed="false" customWidth="true" hidden="false" outlineLevel="0" max="12" min="12" style="0" width="46"/>
    <col collapsed="false" customWidth="true" hidden="false" outlineLevel="0" max="13" min="13" style="0" width="18"/>
    <col collapsed="false" customWidth="true" hidden="false" outlineLevel="0" max="15" min="14" style="0" width="12"/>
    <col collapsed="false" customWidth="true" hidden="false" outlineLevel="0" max="16" min="16" style="0" width="16"/>
  </cols>
  <sheetData>
    <row r="1" customFormat="false" ht="31.5" hidden="false" customHeight="true" outlineLevel="0" collapsed="false">
      <c r="A1" s="8" t="s">
        <v>20</v>
      </c>
      <c r="B1" s="8" t="s">
        <v>13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</row>
    <row r="2" customFormat="false" ht="55.2" hidden="false" customHeight="false" outlineLevel="0" collapsed="false">
      <c r="A2" s="9" t="s">
        <v>35</v>
      </c>
      <c r="B2" s="10" t="s">
        <v>13</v>
      </c>
      <c r="C2" s="11" t="s">
        <v>36</v>
      </c>
      <c r="D2" s="12" t="s">
        <v>37</v>
      </c>
      <c r="E2" s="12" t="s">
        <v>38</v>
      </c>
      <c r="F2" s="10" t="s">
        <v>39</v>
      </c>
      <c r="G2" s="10" t="s">
        <v>40</v>
      </c>
      <c r="H2" s="12" t="s">
        <v>41</v>
      </c>
      <c r="I2" s="12" t="s">
        <v>42</v>
      </c>
      <c r="J2" s="13" t="s">
        <v>43</v>
      </c>
      <c r="K2" s="14"/>
      <c r="L2" s="15"/>
      <c r="M2" s="15"/>
      <c r="N2" s="16"/>
      <c r="O2" s="14"/>
      <c r="P2" s="14" t="s">
        <v>44</v>
      </c>
    </row>
    <row r="3" customFormat="false" ht="95.5" hidden="false" customHeight="false" outlineLevel="0" collapsed="false">
      <c r="A3" s="9" t="s">
        <v>45</v>
      </c>
      <c r="B3" s="10" t="s">
        <v>13</v>
      </c>
      <c r="C3" s="11" t="s">
        <v>46</v>
      </c>
      <c r="D3" s="12" t="s">
        <v>47</v>
      </c>
      <c r="E3" s="12" t="s">
        <v>48</v>
      </c>
      <c r="F3" s="10" t="s">
        <v>49</v>
      </c>
      <c r="G3" s="10" t="s">
        <v>50</v>
      </c>
      <c r="H3" s="12" t="s">
        <v>51</v>
      </c>
      <c r="I3" s="12" t="s">
        <v>52</v>
      </c>
      <c r="J3" s="13" t="s">
        <v>53</v>
      </c>
      <c r="K3" s="14"/>
      <c r="L3" s="15"/>
      <c r="M3" s="15"/>
      <c r="N3" s="16"/>
      <c r="O3" s="14"/>
      <c r="P3" s="14" t="s">
        <v>44</v>
      </c>
    </row>
    <row r="4" customFormat="false" ht="68.65" hidden="false" customHeight="false" outlineLevel="0" collapsed="false">
      <c r="A4" s="9" t="s">
        <v>54</v>
      </c>
      <c r="B4" s="10" t="s">
        <v>13</v>
      </c>
      <c r="C4" s="11" t="s">
        <v>55</v>
      </c>
      <c r="D4" s="12" t="s">
        <v>56</v>
      </c>
      <c r="E4" s="12" t="s">
        <v>57</v>
      </c>
      <c r="F4" s="10" t="s">
        <v>39</v>
      </c>
      <c r="G4" s="10" t="s">
        <v>35</v>
      </c>
      <c r="H4" s="12" t="s">
        <v>58</v>
      </c>
      <c r="I4" s="12" t="s">
        <v>59</v>
      </c>
      <c r="J4" s="13" t="s">
        <v>60</v>
      </c>
      <c r="K4" s="14"/>
      <c r="L4" s="15"/>
      <c r="M4" s="15"/>
      <c r="N4" s="16"/>
      <c r="O4" s="14"/>
      <c r="P4" s="14" t="s">
        <v>44</v>
      </c>
    </row>
    <row r="5" customFormat="false" ht="95.5" hidden="false" customHeight="false" outlineLevel="0" collapsed="false">
      <c r="A5" s="9" t="s">
        <v>61</v>
      </c>
      <c r="B5" s="10" t="s">
        <v>13</v>
      </c>
      <c r="C5" s="11" t="s">
        <v>62</v>
      </c>
      <c r="D5" s="12" t="s">
        <v>63</v>
      </c>
      <c r="E5" s="12" t="s">
        <v>64</v>
      </c>
      <c r="F5" s="10" t="s">
        <v>39</v>
      </c>
      <c r="G5" s="10" t="s">
        <v>35</v>
      </c>
      <c r="H5" s="12" t="s">
        <v>65</v>
      </c>
      <c r="I5" s="12" t="s">
        <v>66</v>
      </c>
      <c r="J5" s="13" t="s">
        <v>67</v>
      </c>
      <c r="K5" s="14"/>
      <c r="L5" s="15"/>
      <c r="M5" s="15"/>
      <c r="N5" s="16"/>
      <c r="O5" s="14"/>
      <c r="P5" s="14" t="s">
        <v>44</v>
      </c>
    </row>
    <row r="6" customFormat="false" ht="55.2" hidden="false" customHeight="false" outlineLevel="0" collapsed="false">
      <c r="A6" s="9" t="s">
        <v>68</v>
      </c>
      <c r="B6" s="10"/>
      <c r="C6" s="11" t="s">
        <v>69</v>
      </c>
      <c r="D6" s="12" t="s">
        <v>70</v>
      </c>
      <c r="E6" s="12" t="s">
        <v>71</v>
      </c>
      <c r="F6" s="10" t="s">
        <v>72</v>
      </c>
      <c r="G6" s="10" t="s">
        <v>73</v>
      </c>
      <c r="H6" s="12" t="s">
        <v>74</v>
      </c>
      <c r="I6" s="12" t="s">
        <v>75</v>
      </c>
      <c r="J6" s="13" t="s">
        <v>76</v>
      </c>
      <c r="K6" s="14"/>
      <c r="L6" s="15"/>
      <c r="M6" s="15"/>
      <c r="N6" s="16"/>
      <c r="O6" s="14"/>
      <c r="P6" s="14" t="s">
        <v>44</v>
      </c>
    </row>
    <row r="7" customFormat="false" ht="41.75" hidden="false" customHeight="false" outlineLevel="0" collapsed="false">
      <c r="A7" s="9" t="s">
        <v>77</v>
      </c>
      <c r="B7" s="10" t="s">
        <v>13</v>
      </c>
      <c r="C7" s="11" t="s">
        <v>78</v>
      </c>
      <c r="D7" s="12" t="s">
        <v>79</v>
      </c>
      <c r="E7" s="12" t="s">
        <v>50</v>
      </c>
      <c r="F7" s="10" t="s">
        <v>39</v>
      </c>
      <c r="G7" s="10" t="s">
        <v>50</v>
      </c>
      <c r="H7" s="12" t="s">
        <v>80</v>
      </c>
      <c r="I7" s="12" t="s">
        <v>81</v>
      </c>
      <c r="J7" s="13" t="s">
        <v>82</v>
      </c>
      <c r="K7" s="14"/>
      <c r="L7" s="15"/>
      <c r="M7" s="15"/>
      <c r="N7" s="16"/>
      <c r="O7" s="14"/>
      <c r="P7" s="14" t="s">
        <v>44</v>
      </c>
    </row>
    <row r="8" customFormat="false" ht="95.5" hidden="false" customHeight="false" outlineLevel="0" collapsed="false">
      <c r="A8" s="9" t="s">
        <v>83</v>
      </c>
      <c r="B8" s="10" t="s">
        <v>13</v>
      </c>
      <c r="C8" s="11" t="s">
        <v>84</v>
      </c>
      <c r="D8" s="12" t="s">
        <v>85</v>
      </c>
      <c r="E8" s="12" t="s">
        <v>86</v>
      </c>
      <c r="F8" s="10" t="s">
        <v>49</v>
      </c>
      <c r="G8" s="10" t="s">
        <v>50</v>
      </c>
      <c r="H8" s="12" t="s">
        <v>87</v>
      </c>
      <c r="I8" s="12" t="s">
        <v>88</v>
      </c>
      <c r="J8" s="13" t="s">
        <v>89</v>
      </c>
      <c r="K8" s="14"/>
      <c r="L8" s="15"/>
      <c r="M8" s="15"/>
      <c r="N8" s="16"/>
      <c r="O8" s="14"/>
      <c r="P8" s="14" t="s">
        <v>44</v>
      </c>
    </row>
    <row r="9" customFormat="false" ht="55.2" hidden="false" customHeight="false" outlineLevel="0" collapsed="false">
      <c r="A9" s="9" t="s">
        <v>90</v>
      </c>
      <c r="B9" s="10" t="s">
        <v>13</v>
      </c>
      <c r="C9" s="11" t="s">
        <v>91</v>
      </c>
      <c r="D9" s="12" t="s">
        <v>92</v>
      </c>
      <c r="E9" s="12" t="s">
        <v>93</v>
      </c>
      <c r="F9" s="10" t="s">
        <v>49</v>
      </c>
      <c r="G9" s="10" t="s">
        <v>45</v>
      </c>
      <c r="H9" s="12" t="s">
        <v>94</v>
      </c>
      <c r="I9" s="12" t="s">
        <v>95</v>
      </c>
      <c r="J9" s="13" t="s">
        <v>96</v>
      </c>
      <c r="K9" s="14"/>
      <c r="L9" s="15"/>
      <c r="M9" s="15"/>
      <c r="N9" s="16"/>
      <c r="O9" s="14"/>
      <c r="P9" s="14" t="s">
        <v>44</v>
      </c>
    </row>
    <row r="10" customFormat="false" ht="68.65" hidden="false" customHeight="false" outlineLevel="0" collapsed="false">
      <c r="A10" s="9" t="s">
        <v>97</v>
      </c>
      <c r="B10" s="10" t="s">
        <v>13</v>
      </c>
      <c r="C10" s="11" t="s">
        <v>98</v>
      </c>
      <c r="D10" s="12" t="s">
        <v>99</v>
      </c>
      <c r="E10" s="12" t="s">
        <v>100</v>
      </c>
      <c r="F10" s="10" t="s">
        <v>39</v>
      </c>
      <c r="G10" s="10" t="s">
        <v>45</v>
      </c>
      <c r="H10" s="12" t="s">
        <v>101</v>
      </c>
      <c r="I10" s="12" t="s">
        <v>102</v>
      </c>
      <c r="J10" s="13" t="s">
        <v>103</v>
      </c>
      <c r="K10" s="14"/>
      <c r="L10" s="15"/>
      <c r="M10" s="15"/>
      <c r="N10" s="16"/>
      <c r="O10" s="14"/>
      <c r="P10" s="14" t="s">
        <v>44</v>
      </c>
    </row>
    <row r="11" customFormat="false" ht="82.05" hidden="false" customHeight="false" outlineLevel="0" collapsed="false">
      <c r="A11" s="9" t="s">
        <v>104</v>
      </c>
      <c r="B11" s="10" t="s">
        <v>13</v>
      </c>
      <c r="C11" s="11" t="s">
        <v>105</v>
      </c>
      <c r="D11" s="12" t="s">
        <v>106</v>
      </c>
      <c r="E11" s="12" t="s">
        <v>107</v>
      </c>
      <c r="F11" s="10" t="s">
        <v>49</v>
      </c>
      <c r="G11" s="10" t="s">
        <v>50</v>
      </c>
      <c r="H11" s="12" t="s">
        <v>108</v>
      </c>
      <c r="I11" s="12" t="s">
        <v>109</v>
      </c>
      <c r="J11" s="13" t="s">
        <v>110</v>
      </c>
      <c r="K11" s="14"/>
      <c r="L11" s="15"/>
      <c r="M11" s="15"/>
      <c r="N11" s="16"/>
      <c r="O11" s="14"/>
      <c r="P11" s="14" t="s">
        <v>44</v>
      </c>
    </row>
    <row r="12" customFormat="false" ht="55.2" hidden="false" customHeight="false" outlineLevel="0" collapsed="false">
      <c r="A12" s="9" t="s">
        <v>111</v>
      </c>
      <c r="B12" s="10"/>
      <c r="C12" s="11" t="s">
        <v>112</v>
      </c>
      <c r="D12" s="12" t="s">
        <v>113</v>
      </c>
      <c r="E12" s="12" t="s">
        <v>114</v>
      </c>
      <c r="F12" s="10" t="s">
        <v>39</v>
      </c>
      <c r="G12" s="10" t="s">
        <v>45</v>
      </c>
      <c r="H12" s="12" t="s">
        <v>115</v>
      </c>
      <c r="I12" s="12" t="s">
        <v>116</v>
      </c>
      <c r="J12" s="13" t="s">
        <v>117</v>
      </c>
      <c r="K12" s="14"/>
      <c r="L12" s="15"/>
      <c r="M12" s="15"/>
      <c r="N12" s="16"/>
      <c r="O12" s="14"/>
      <c r="P12" s="14" t="s">
        <v>44</v>
      </c>
    </row>
    <row r="13" customFormat="false" ht="68.65" hidden="false" customHeight="false" outlineLevel="0" collapsed="false">
      <c r="A13" s="9" t="s">
        <v>118</v>
      </c>
      <c r="B13" s="10" t="s">
        <v>13</v>
      </c>
      <c r="C13" s="11" t="s">
        <v>119</v>
      </c>
      <c r="D13" s="12" t="s">
        <v>120</v>
      </c>
      <c r="E13" s="12" t="s">
        <v>121</v>
      </c>
      <c r="F13" s="10" t="s">
        <v>49</v>
      </c>
      <c r="G13" s="10" t="s">
        <v>122</v>
      </c>
      <c r="H13" s="12" t="s">
        <v>123</v>
      </c>
      <c r="I13" s="12" t="s">
        <v>124</v>
      </c>
      <c r="J13" s="13" t="s">
        <v>125</v>
      </c>
      <c r="K13" s="14"/>
      <c r="L13" s="15"/>
      <c r="M13" s="15"/>
      <c r="N13" s="16"/>
      <c r="O13" s="14"/>
      <c r="P13" s="14" t="s">
        <v>44</v>
      </c>
    </row>
    <row r="14" customFormat="false" ht="55.2" hidden="false" customHeight="false" outlineLevel="0" collapsed="false">
      <c r="A14" s="9" t="s">
        <v>126</v>
      </c>
      <c r="B14" s="10"/>
      <c r="C14" s="11" t="s">
        <v>127</v>
      </c>
      <c r="D14" s="12" t="s">
        <v>128</v>
      </c>
      <c r="E14" s="12" t="s">
        <v>129</v>
      </c>
      <c r="F14" s="10" t="s">
        <v>49</v>
      </c>
      <c r="G14" s="10" t="s">
        <v>50</v>
      </c>
      <c r="H14" s="12" t="s">
        <v>130</v>
      </c>
      <c r="I14" s="12" t="s">
        <v>131</v>
      </c>
      <c r="J14" s="13" t="s">
        <v>132</v>
      </c>
      <c r="K14" s="14"/>
      <c r="L14" s="15"/>
      <c r="M14" s="15"/>
      <c r="N14" s="16"/>
      <c r="O14" s="14"/>
      <c r="P14" s="14" t="s">
        <v>44</v>
      </c>
    </row>
    <row r="15" customFormat="false" ht="41.75" hidden="false" customHeight="false" outlineLevel="0" collapsed="false">
      <c r="A15" s="9" t="s">
        <v>133</v>
      </c>
      <c r="B15" s="10"/>
      <c r="C15" s="11" t="s">
        <v>134</v>
      </c>
      <c r="D15" s="12" t="s">
        <v>135</v>
      </c>
      <c r="E15" s="12" t="s">
        <v>136</v>
      </c>
      <c r="F15" s="10" t="s">
        <v>49</v>
      </c>
      <c r="G15" s="10" t="s">
        <v>50</v>
      </c>
      <c r="H15" s="12" t="s">
        <v>137</v>
      </c>
      <c r="I15" s="12" t="s">
        <v>138</v>
      </c>
      <c r="J15" s="13" t="s">
        <v>139</v>
      </c>
      <c r="K15" s="14"/>
      <c r="L15" s="15"/>
      <c r="M15" s="15"/>
      <c r="N15" s="16"/>
      <c r="O15" s="14"/>
      <c r="P15" s="14" t="s">
        <v>44</v>
      </c>
    </row>
    <row r="16" customFormat="false" ht="55.2" hidden="false" customHeight="false" outlineLevel="0" collapsed="false">
      <c r="A16" s="9" t="s">
        <v>140</v>
      </c>
      <c r="B16" s="10"/>
      <c r="C16" s="11" t="s">
        <v>141</v>
      </c>
      <c r="D16" s="12" t="s">
        <v>142</v>
      </c>
      <c r="E16" s="12" t="s">
        <v>143</v>
      </c>
      <c r="F16" s="10" t="s">
        <v>39</v>
      </c>
      <c r="G16" s="10" t="s">
        <v>50</v>
      </c>
      <c r="H16" s="12" t="s">
        <v>144</v>
      </c>
      <c r="I16" s="12" t="s">
        <v>145</v>
      </c>
      <c r="J16" s="13" t="s">
        <v>146</v>
      </c>
      <c r="K16" s="14"/>
      <c r="L16" s="15"/>
      <c r="M16" s="15"/>
      <c r="N16" s="16"/>
      <c r="O16" s="14"/>
      <c r="P16" s="14" t="s">
        <v>44</v>
      </c>
    </row>
    <row r="17" customFormat="false" ht="55.2" hidden="false" customHeight="false" outlineLevel="0" collapsed="false">
      <c r="A17" s="9" t="s">
        <v>147</v>
      </c>
      <c r="B17" s="10"/>
      <c r="C17" s="11" t="s">
        <v>148</v>
      </c>
      <c r="D17" s="12" t="s">
        <v>149</v>
      </c>
      <c r="E17" s="12" t="s">
        <v>150</v>
      </c>
      <c r="F17" s="10" t="s">
        <v>49</v>
      </c>
      <c r="G17" s="10" t="s">
        <v>50</v>
      </c>
      <c r="H17" s="12" t="s">
        <v>151</v>
      </c>
      <c r="I17" s="12" t="s">
        <v>152</v>
      </c>
      <c r="J17" s="13" t="s">
        <v>153</v>
      </c>
      <c r="K17" s="14"/>
      <c r="L17" s="15"/>
      <c r="M17" s="15"/>
      <c r="N17" s="16"/>
      <c r="O17" s="14"/>
      <c r="P17" s="14" t="s">
        <v>44</v>
      </c>
    </row>
    <row r="18" customFormat="false" ht="68.65" hidden="false" customHeight="false" outlineLevel="0" collapsed="false">
      <c r="A18" s="9" t="s">
        <v>154</v>
      </c>
      <c r="B18" s="10" t="s">
        <v>13</v>
      </c>
      <c r="C18" s="11" t="s">
        <v>155</v>
      </c>
      <c r="D18" s="12" t="s">
        <v>156</v>
      </c>
      <c r="E18" s="12" t="s">
        <v>157</v>
      </c>
      <c r="F18" s="10" t="s">
        <v>49</v>
      </c>
      <c r="G18" s="10" t="s">
        <v>35</v>
      </c>
      <c r="H18" s="12" t="s">
        <v>158</v>
      </c>
      <c r="I18" s="12" t="s">
        <v>159</v>
      </c>
      <c r="J18" s="13" t="s">
        <v>160</v>
      </c>
      <c r="K18" s="14"/>
      <c r="L18" s="15"/>
      <c r="M18" s="15"/>
      <c r="N18" s="16"/>
      <c r="O18" s="14"/>
      <c r="P18" s="14" t="s">
        <v>44</v>
      </c>
    </row>
    <row r="19" customFormat="false" ht="41.75" hidden="false" customHeight="false" outlineLevel="0" collapsed="false">
      <c r="A19" s="9" t="s">
        <v>161</v>
      </c>
      <c r="B19" s="10"/>
      <c r="C19" s="11" t="s">
        <v>162</v>
      </c>
      <c r="D19" s="12" t="s">
        <v>163</v>
      </c>
      <c r="E19" s="12" t="s">
        <v>164</v>
      </c>
      <c r="F19" s="10" t="s">
        <v>72</v>
      </c>
      <c r="G19" s="10" t="s">
        <v>50</v>
      </c>
      <c r="H19" s="12" t="s">
        <v>165</v>
      </c>
      <c r="I19" s="12" t="s">
        <v>166</v>
      </c>
      <c r="J19" s="13" t="s">
        <v>167</v>
      </c>
      <c r="K19" s="14"/>
      <c r="L19" s="15"/>
      <c r="M19" s="15"/>
      <c r="N19" s="16"/>
      <c r="O19" s="14"/>
      <c r="P19" s="14" t="s">
        <v>44</v>
      </c>
    </row>
  </sheetData>
  <autoFilter ref="A1:P19"/>
  <conditionalFormatting sqref="A2:P19">
    <cfRule type="expression" priority="2" aboveAverage="0" equalAverage="0" bottom="0" percent="0" rank="0" text="" dxfId="5">
      <formula>$P2="Answered"</formula>
    </cfRule>
    <cfRule type="expression" priority="3" aboveAverage="0" equalAverage="0" bottom="0" percent="0" rank="0" text="" dxfId="6">
      <formula>$P2="Needs follow-up"</formula>
    </cfRule>
    <cfRule type="expression" priority="4" aboveAverage="0" equalAverage="0" bottom="0" percent="0" rank="0" text="" dxfId="7">
      <formula>$P2="Parked"</formula>
    </cfRule>
  </conditionalFormatting>
  <dataValidations count="4">
    <dataValidation allowBlank="true" errorStyle="stop" operator="between" showDropDown="false" showErrorMessage="false" showInputMessage="false" sqref="K2:K19" type="list">
      <formula1>"A,B,C,D,Other,Not decided"</formula1>
      <formula2>0</formula2>
    </dataValidation>
    <dataValidation allowBlank="true" errorStyle="stop" operator="between" showDropDown="false" showErrorMessage="false" showInputMessage="false" sqref="O2:O19" type="list">
      <formula1>"Yes,No"</formula1>
      <formula2>0</formula2>
    </dataValidation>
    <dataValidation allowBlank="false" errorStyle="stop" operator="between" showDropDown="false" showErrorMessage="false" showInputMessage="false" sqref="P2:P19" type="list">
      <formula1>"Open,Answered,Needs follow-up,Parked"</formula1>
      <formula2>0</formula2>
    </dataValidation>
    <dataValidation allowBlank="true" errorStyle="stop" operator="greaterThan" showDropDown="false" showErrorMessage="false" showInputMessage="false" sqref="N2:N19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42"/>
    <col collapsed="false" customWidth="true" hidden="false" outlineLevel="0" max="5" min="5" style="0" width="50"/>
    <col collapsed="false" customWidth="true" hidden="false" outlineLevel="0" max="6" min="6" style="0" width="5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8" t="s">
        <v>20</v>
      </c>
      <c r="B1" s="8" t="s">
        <v>168</v>
      </c>
      <c r="C1" s="8" t="s">
        <v>169</v>
      </c>
      <c r="D1" s="8" t="s">
        <v>170</v>
      </c>
      <c r="E1" s="8" t="s">
        <v>171</v>
      </c>
      <c r="F1" s="8" t="s">
        <v>172</v>
      </c>
      <c r="G1" s="8" t="s">
        <v>173</v>
      </c>
    </row>
    <row r="2" customFormat="false" ht="55.2" hidden="false" customHeight="false" outlineLevel="0" collapsed="false">
      <c r="A2" s="17" t="s">
        <v>35</v>
      </c>
      <c r="B2" s="18" t="s">
        <v>174</v>
      </c>
      <c r="C2" s="19" t="s">
        <v>175</v>
      </c>
      <c r="D2" s="20" t="s">
        <v>176</v>
      </c>
      <c r="E2" s="20" t="s">
        <v>177</v>
      </c>
      <c r="F2" s="20" t="s">
        <v>178</v>
      </c>
      <c r="G2" s="18" t="s">
        <v>179</v>
      </c>
    </row>
    <row r="3" customFormat="false" ht="68.65" hidden="false" customHeight="false" outlineLevel="0" collapsed="false">
      <c r="A3" s="17" t="s">
        <v>35</v>
      </c>
      <c r="B3" s="18" t="s">
        <v>180</v>
      </c>
      <c r="C3" s="19" t="s">
        <v>181</v>
      </c>
      <c r="D3" s="20" t="s">
        <v>182</v>
      </c>
      <c r="E3" s="20" t="s">
        <v>183</v>
      </c>
      <c r="F3" s="20" t="s">
        <v>184</v>
      </c>
      <c r="G3" s="18"/>
    </row>
    <row r="4" customFormat="false" ht="55.2" hidden="false" customHeight="false" outlineLevel="0" collapsed="false">
      <c r="A4" s="17" t="s">
        <v>35</v>
      </c>
      <c r="B4" s="18" t="s">
        <v>185</v>
      </c>
      <c r="C4" s="19" t="s">
        <v>186</v>
      </c>
      <c r="D4" s="20" t="s">
        <v>187</v>
      </c>
      <c r="E4" s="20" t="s">
        <v>188</v>
      </c>
      <c r="F4" s="20" t="s">
        <v>189</v>
      </c>
      <c r="G4" s="18"/>
    </row>
    <row r="5" customFormat="false" ht="41.75" hidden="false" customHeight="false" outlineLevel="0" collapsed="false">
      <c r="A5" s="9" t="s">
        <v>45</v>
      </c>
      <c r="B5" s="10" t="s">
        <v>174</v>
      </c>
      <c r="C5" s="11" t="s">
        <v>190</v>
      </c>
      <c r="D5" s="12"/>
      <c r="E5" s="12" t="s">
        <v>191</v>
      </c>
      <c r="F5" s="12" t="s">
        <v>192</v>
      </c>
      <c r="G5" s="10" t="s">
        <v>179</v>
      </c>
    </row>
    <row r="6" customFormat="false" ht="15" hidden="false" customHeight="false" outlineLevel="0" collapsed="false">
      <c r="A6" s="9" t="s">
        <v>45</v>
      </c>
      <c r="B6" s="10" t="s">
        <v>180</v>
      </c>
      <c r="C6" s="11" t="s">
        <v>193</v>
      </c>
      <c r="D6" s="12"/>
      <c r="E6" s="12" t="s">
        <v>194</v>
      </c>
      <c r="F6" s="12" t="s">
        <v>195</v>
      </c>
      <c r="G6" s="10"/>
    </row>
    <row r="7" customFormat="false" ht="28.35" hidden="false" customHeight="false" outlineLevel="0" collapsed="false">
      <c r="A7" s="9" t="s">
        <v>45</v>
      </c>
      <c r="B7" s="10" t="s">
        <v>185</v>
      </c>
      <c r="C7" s="11" t="s">
        <v>196</v>
      </c>
      <c r="D7" s="12"/>
      <c r="E7" s="12" t="s">
        <v>197</v>
      </c>
      <c r="F7" s="12" t="s">
        <v>198</v>
      </c>
      <c r="G7" s="10"/>
    </row>
    <row r="8" customFormat="false" ht="15" hidden="false" customHeight="false" outlineLevel="0" collapsed="false">
      <c r="A8" s="17" t="s">
        <v>54</v>
      </c>
      <c r="B8" s="18" t="s">
        <v>174</v>
      </c>
      <c r="C8" s="19" t="s">
        <v>199</v>
      </c>
      <c r="D8" s="20"/>
      <c r="E8" s="20" t="s">
        <v>200</v>
      </c>
      <c r="F8" s="20" t="s">
        <v>201</v>
      </c>
      <c r="G8" s="18"/>
    </row>
    <row r="9" customFormat="false" ht="28.35" hidden="false" customHeight="false" outlineLevel="0" collapsed="false">
      <c r="A9" s="17" t="s">
        <v>54</v>
      </c>
      <c r="B9" s="18" t="s">
        <v>180</v>
      </c>
      <c r="C9" s="19" t="s">
        <v>202</v>
      </c>
      <c r="D9" s="20"/>
      <c r="E9" s="20" t="s">
        <v>203</v>
      </c>
      <c r="F9" s="20" t="s">
        <v>204</v>
      </c>
      <c r="G9" s="18" t="s">
        <v>179</v>
      </c>
    </row>
    <row r="10" customFormat="false" ht="15" hidden="false" customHeight="false" outlineLevel="0" collapsed="false">
      <c r="A10" s="17" t="s">
        <v>54</v>
      </c>
      <c r="B10" s="18" t="s">
        <v>185</v>
      </c>
      <c r="C10" s="19" t="s">
        <v>205</v>
      </c>
      <c r="D10" s="20"/>
      <c r="E10" s="20" t="s">
        <v>206</v>
      </c>
      <c r="F10" s="20" t="s">
        <v>207</v>
      </c>
      <c r="G10" s="18"/>
    </row>
    <row r="11" customFormat="false" ht="15" hidden="false" customHeight="false" outlineLevel="0" collapsed="false">
      <c r="A11" s="9" t="s">
        <v>61</v>
      </c>
      <c r="B11" s="10" t="s">
        <v>174</v>
      </c>
      <c r="C11" s="11" t="s">
        <v>208</v>
      </c>
      <c r="D11" s="12"/>
      <c r="E11" s="12" t="s">
        <v>209</v>
      </c>
      <c r="F11" s="12" t="s">
        <v>210</v>
      </c>
      <c r="G11" s="10"/>
    </row>
    <row r="12" customFormat="false" ht="28.35" hidden="false" customHeight="false" outlineLevel="0" collapsed="false">
      <c r="A12" s="9" t="s">
        <v>61</v>
      </c>
      <c r="B12" s="10" t="s">
        <v>180</v>
      </c>
      <c r="C12" s="11" t="s">
        <v>211</v>
      </c>
      <c r="D12" s="12"/>
      <c r="E12" s="12" t="s">
        <v>212</v>
      </c>
      <c r="F12" s="12" t="s">
        <v>213</v>
      </c>
      <c r="G12" s="10" t="s">
        <v>179</v>
      </c>
    </row>
    <row r="13" customFormat="false" ht="15" hidden="false" customHeight="false" outlineLevel="0" collapsed="false">
      <c r="A13" s="9" t="s">
        <v>61</v>
      </c>
      <c r="B13" s="10" t="s">
        <v>185</v>
      </c>
      <c r="C13" s="11" t="s">
        <v>214</v>
      </c>
      <c r="D13" s="12"/>
      <c r="E13" s="12" t="s">
        <v>215</v>
      </c>
      <c r="F13" s="12" t="s">
        <v>216</v>
      </c>
      <c r="G13" s="10"/>
    </row>
    <row r="14" customFormat="false" ht="15" hidden="false" customHeight="false" outlineLevel="0" collapsed="false">
      <c r="A14" s="9" t="s">
        <v>61</v>
      </c>
      <c r="B14" s="10" t="s">
        <v>217</v>
      </c>
      <c r="C14" s="11" t="s">
        <v>218</v>
      </c>
      <c r="D14" s="12"/>
      <c r="E14" s="12" t="s">
        <v>219</v>
      </c>
      <c r="F14" s="12" t="s">
        <v>220</v>
      </c>
      <c r="G14" s="10"/>
    </row>
    <row r="15" customFormat="false" ht="15" hidden="false" customHeight="false" outlineLevel="0" collapsed="false">
      <c r="A15" s="17" t="s">
        <v>68</v>
      </c>
      <c r="B15" s="18" t="s">
        <v>174</v>
      </c>
      <c r="C15" s="19" t="s">
        <v>221</v>
      </c>
      <c r="D15" s="20"/>
      <c r="E15" s="20" t="s">
        <v>222</v>
      </c>
      <c r="F15" s="20" t="s">
        <v>223</v>
      </c>
      <c r="G15" s="18"/>
    </row>
    <row r="16" customFormat="false" ht="15" hidden="false" customHeight="false" outlineLevel="0" collapsed="false">
      <c r="A16" s="17" t="s">
        <v>68</v>
      </c>
      <c r="B16" s="18" t="s">
        <v>180</v>
      </c>
      <c r="C16" s="19" t="s">
        <v>224</v>
      </c>
      <c r="D16" s="20"/>
      <c r="E16" s="20" t="s">
        <v>225</v>
      </c>
      <c r="F16" s="20" t="s">
        <v>226</v>
      </c>
      <c r="G16" s="18"/>
    </row>
    <row r="17" customFormat="false" ht="28.35" hidden="false" customHeight="false" outlineLevel="0" collapsed="false">
      <c r="A17" s="17" t="s">
        <v>68</v>
      </c>
      <c r="B17" s="18" t="s">
        <v>185</v>
      </c>
      <c r="C17" s="19" t="s">
        <v>227</v>
      </c>
      <c r="D17" s="20"/>
      <c r="E17" s="20" t="s">
        <v>228</v>
      </c>
      <c r="F17" s="20" t="s">
        <v>229</v>
      </c>
      <c r="G17" s="18" t="s">
        <v>179</v>
      </c>
    </row>
    <row r="18" customFormat="false" ht="28.35" hidden="false" customHeight="false" outlineLevel="0" collapsed="false">
      <c r="A18" s="9" t="s">
        <v>77</v>
      </c>
      <c r="B18" s="10" t="s">
        <v>174</v>
      </c>
      <c r="C18" s="11" t="s">
        <v>230</v>
      </c>
      <c r="D18" s="12"/>
      <c r="E18" s="12" t="s">
        <v>231</v>
      </c>
      <c r="F18" s="12" t="s">
        <v>232</v>
      </c>
      <c r="G18" s="10" t="s">
        <v>179</v>
      </c>
    </row>
    <row r="19" customFormat="false" ht="15" hidden="false" customHeight="false" outlineLevel="0" collapsed="false">
      <c r="A19" s="9" t="s">
        <v>77</v>
      </c>
      <c r="B19" s="10" t="s">
        <v>180</v>
      </c>
      <c r="C19" s="11" t="s">
        <v>233</v>
      </c>
      <c r="D19" s="12"/>
      <c r="E19" s="12" t="s">
        <v>234</v>
      </c>
      <c r="F19" s="12" t="s">
        <v>235</v>
      </c>
      <c r="G19" s="10"/>
    </row>
    <row r="20" customFormat="false" ht="15" hidden="false" customHeight="false" outlineLevel="0" collapsed="false">
      <c r="A20" s="17" t="s">
        <v>83</v>
      </c>
      <c r="B20" s="18" t="s">
        <v>174</v>
      </c>
      <c r="C20" s="19" t="s">
        <v>236</v>
      </c>
      <c r="D20" s="20"/>
      <c r="E20" s="20" t="s">
        <v>237</v>
      </c>
      <c r="F20" s="20" t="s">
        <v>238</v>
      </c>
      <c r="G20" s="18"/>
    </row>
    <row r="21" customFormat="false" ht="41.75" hidden="false" customHeight="false" outlineLevel="0" collapsed="false">
      <c r="A21" s="17" t="s">
        <v>83</v>
      </c>
      <c r="B21" s="18" t="s">
        <v>180</v>
      </c>
      <c r="C21" s="19" t="s">
        <v>239</v>
      </c>
      <c r="D21" s="20"/>
      <c r="E21" s="20" t="s">
        <v>240</v>
      </c>
      <c r="F21" s="20" t="s">
        <v>241</v>
      </c>
      <c r="G21" s="18" t="s">
        <v>179</v>
      </c>
    </row>
    <row r="22" customFormat="false" ht="28.35" hidden="false" customHeight="false" outlineLevel="0" collapsed="false">
      <c r="A22" s="17" t="s">
        <v>83</v>
      </c>
      <c r="B22" s="18" t="s">
        <v>185</v>
      </c>
      <c r="C22" s="19" t="s">
        <v>242</v>
      </c>
      <c r="D22" s="20"/>
      <c r="E22" s="20" t="s">
        <v>243</v>
      </c>
      <c r="F22" s="20" t="s">
        <v>244</v>
      </c>
      <c r="G22" s="18" t="s">
        <v>179</v>
      </c>
    </row>
    <row r="23" customFormat="false" ht="15" hidden="false" customHeight="false" outlineLevel="0" collapsed="false">
      <c r="A23" s="9" t="s">
        <v>90</v>
      </c>
      <c r="B23" s="10" t="s">
        <v>174</v>
      </c>
      <c r="C23" s="11" t="s">
        <v>245</v>
      </c>
      <c r="D23" s="12"/>
      <c r="E23" s="12" t="s">
        <v>246</v>
      </c>
      <c r="F23" s="12" t="s">
        <v>247</v>
      </c>
      <c r="G23" s="10" t="s">
        <v>179</v>
      </c>
    </row>
    <row r="24" customFormat="false" ht="28.35" hidden="false" customHeight="false" outlineLevel="0" collapsed="false">
      <c r="A24" s="9" t="s">
        <v>90</v>
      </c>
      <c r="B24" s="10" t="s">
        <v>180</v>
      </c>
      <c r="C24" s="11" t="s">
        <v>248</v>
      </c>
      <c r="D24" s="12"/>
      <c r="E24" s="12" t="s">
        <v>249</v>
      </c>
      <c r="F24" s="12" t="s">
        <v>250</v>
      </c>
      <c r="G24" s="10" t="s">
        <v>179</v>
      </c>
    </row>
    <row r="25" customFormat="false" ht="15" hidden="false" customHeight="false" outlineLevel="0" collapsed="false">
      <c r="A25" s="9" t="s">
        <v>90</v>
      </c>
      <c r="B25" s="10" t="s">
        <v>185</v>
      </c>
      <c r="C25" s="11" t="s">
        <v>251</v>
      </c>
      <c r="D25" s="12"/>
      <c r="E25" s="12" t="s">
        <v>50</v>
      </c>
      <c r="F25" s="12" t="s">
        <v>252</v>
      </c>
      <c r="G25" s="10"/>
    </row>
    <row r="26" customFormat="false" ht="15" hidden="false" customHeight="false" outlineLevel="0" collapsed="false">
      <c r="A26" s="17" t="s">
        <v>97</v>
      </c>
      <c r="B26" s="18" t="s">
        <v>174</v>
      </c>
      <c r="C26" s="19" t="s">
        <v>253</v>
      </c>
      <c r="D26" s="20"/>
      <c r="E26" s="20" t="s">
        <v>254</v>
      </c>
      <c r="F26" s="20" t="s">
        <v>255</v>
      </c>
      <c r="G26" s="18" t="s">
        <v>179</v>
      </c>
    </row>
    <row r="27" customFormat="false" ht="28.35" hidden="false" customHeight="false" outlineLevel="0" collapsed="false">
      <c r="A27" s="17" t="s">
        <v>97</v>
      </c>
      <c r="B27" s="18" t="s">
        <v>180</v>
      </c>
      <c r="C27" s="19" t="s">
        <v>256</v>
      </c>
      <c r="D27" s="20"/>
      <c r="E27" s="20" t="s">
        <v>257</v>
      </c>
      <c r="F27" s="20" t="s">
        <v>258</v>
      </c>
      <c r="G27" s="18"/>
    </row>
    <row r="28" customFormat="false" ht="15" hidden="false" customHeight="false" outlineLevel="0" collapsed="false">
      <c r="A28" s="17" t="s">
        <v>97</v>
      </c>
      <c r="B28" s="18" t="s">
        <v>185</v>
      </c>
      <c r="C28" s="19" t="s">
        <v>259</v>
      </c>
      <c r="D28" s="20"/>
      <c r="E28" s="20" t="s">
        <v>260</v>
      </c>
      <c r="F28" s="20" t="s">
        <v>261</v>
      </c>
      <c r="G28" s="18"/>
    </row>
    <row r="29" customFormat="false" ht="28.35" hidden="false" customHeight="false" outlineLevel="0" collapsed="false">
      <c r="A29" s="9" t="s">
        <v>104</v>
      </c>
      <c r="B29" s="10" t="s">
        <v>174</v>
      </c>
      <c r="C29" s="11" t="s">
        <v>262</v>
      </c>
      <c r="D29" s="12"/>
      <c r="E29" s="12" t="s">
        <v>263</v>
      </c>
      <c r="F29" s="12" t="s">
        <v>264</v>
      </c>
      <c r="G29" s="10"/>
    </row>
    <row r="30" customFormat="false" ht="41.75" hidden="false" customHeight="false" outlineLevel="0" collapsed="false">
      <c r="A30" s="9" t="s">
        <v>104</v>
      </c>
      <c r="B30" s="10" t="s">
        <v>180</v>
      </c>
      <c r="C30" s="11" t="s">
        <v>265</v>
      </c>
      <c r="D30" s="12"/>
      <c r="E30" s="12" t="s">
        <v>266</v>
      </c>
      <c r="F30" s="12" t="s">
        <v>267</v>
      </c>
      <c r="G30" s="10" t="s">
        <v>179</v>
      </c>
    </row>
    <row r="31" customFormat="false" ht="15" hidden="false" customHeight="false" outlineLevel="0" collapsed="false">
      <c r="A31" s="9" t="s">
        <v>104</v>
      </c>
      <c r="B31" s="10" t="s">
        <v>185</v>
      </c>
      <c r="C31" s="11" t="s">
        <v>268</v>
      </c>
      <c r="D31" s="12"/>
      <c r="E31" s="12" t="s">
        <v>269</v>
      </c>
      <c r="F31" s="12" t="s">
        <v>270</v>
      </c>
      <c r="G31" s="10"/>
    </row>
    <row r="32" customFormat="false" ht="28.35" hidden="false" customHeight="false" outlineLevel="0" collapsed="false">
      <c r="A32" s="17" t="s">
        <v>111</v>
      </c>
      <c r="B32" s="18" t="s">
        <v>174</v>
      </c>
      <c r="C32" s="19" t="s">
        <v>271</v>
      </c>
      <c r="D32" s="20"/>
      <c r="E32" s="20" t="s">
        <v>272</v>
      </c>
      <c r="F32" s="20" t="s">
        <v>273</v>
      </c>
      <c r="G32" s="18" t="s">
        <v>179</v>
      </c>
    </row>
    <row r="33" customFormat="false" ht="28.35" hidden="false" customHeight="false" outlineLevel="0" collapsed="false">
      <c r="A33" s="17" t="s">
        <v>111</v>
      </c>
      <c r="B33" s="18" t="s">
        <v>180</v>
      </c>
      <c r="C33" s="19" t="s">
        <v>274</v>
      </c>
      <c r="D33" s="20"/>
      <c r="E33" s="20" t="s">
        <v>275</v>
      </c>
      <c r="F33" s="20" t="s">
        <v>276</v>
      </c>
      <c r="G33" s="18"/>
    </row>
    <row r="34" customFormat="false" ht="28.35" hidden="false" customHeight="false" outlineLevel="0" collapsed="false">
      <c r="A34" s="9" t="s">
        <v>118</v>
      </c>
      <c r="B34" s="10" t="s">
        <v>174</v>
      </c>
      <c r="C34" s="11" t="s">
        <v>277</v>
      </c>
      <c r="D34" s="12"/>
      <c r="E34" s="12" t="s">
        <v>278</v>
      </c>
      <c r="F34" s="12" t="s">
        <v>279</v>
      </c>
      <c r="G34" s="10"/>
    </row>
    <row r="35" customFormat="false" ht="28.35" hidden="false" customHeight="false" outlineLevel="0" collapsed="false">
      <c r="A35" s="9" t="s">
        <v>118</v>
      </c>
      <c r="B35" s="10" t="s">
        <v>180</v>
      </c>
      <c r="C35" s="11" t="s">
        <v>280</v>
      </c>
      <c r="D35" s="12"/>
      <c r="E35" s="12" t="s">
        <v>281</v>
      </c>
      <c r="F35" s="12" t="s">
        <v>282</v>
      </c>
      <c r="G35" s="10"/>
    </row>
    <row r="36" customFormat="false" ht="15" hidden="false" customHeight="false" outlineLevel="0" collapsed="false">
      <c r="A36" s="9" t="s">
        <v>118</v>
      </c>
      <c r="B36" s="10" t="s">
        <v>185</v>
      </c>
      <c r="C36" s="11" t="s">
        <v>283</v>
      </c>
      <c r="D36" s="12"/>
      <c r="E36" s="12" t="s">
        <v>284</v>
      </c>
      <c r="F36" s="12" t="s">
        <v>285</v>
      </c>
      <c r="G36" s="10" t="s">
        <v>179</v>
      </c>
    </row>
    <row r="37" customFormat="false" ht="28.35" hidden="false" customHeight="false" outlineLevel="0" collapsed="false">
      <c r="A37" s="17" t="s">
        <v>126</v>
      </c>
      <c r="B37" s="18" t="s">
        <v>174</v>
      </c>
      <c r="C37" s="19" t="s">
        <v>286</v>
      </c>
      <c r="D37" s="20"/>
      <c r="E37" s="20" t="s">
        <v>287</v>
      </c>
      <c r="F37" s="20" t="s">
        <v>288</v>
      </c>
      <c r="G37" s="18"/>
    </row>
    <row r="38" customFormat="false" ht="15" hidden="false" customHeight="false" outlineLevel="0" collapsed="false">
      <c r="A38" s="17" t="s">
        <v>126</v>
      </c>
      <c r="B38" s="18" t="s">
        <v>180</v>
      </c>
      <c r="C38" s="19" t="s">
        <v>289</v>
      </c>
      <c r="D38" s="20"/>
      <c r="E38" s="20" t="s">
        <v>290</v>
      </c>
      <c r="F38" s="20" t="s">
        <v>291</v>
      </c>
      <c r="G38" s="18" t="s">
        <v>179</v>
      </c>
    </row>
    <row r="39" customFormat="false" ht="15" hidden="false" customHeight="false" outlineLevel="0" collapsed="false">
      <c r="A39" s="17" t="s">
        <v>126</v>
      </c>
      <c r="B39" s="18" t="s">
        <v>185</v>
      </c>
      <c r="C39" s="19" t="s">
        <v>292</v>
      </c>
      <c r="D39" s="20"/>
      <c r="E39" s="20" t="s">
        <v>293</v>
      </c>
      <c r="F39" s="20" t="s">
        <v>294</v>
      </c>
      <c r="G39" s="18" t="s">
        <v>179</v>
      </c>
    </row>
    <row r="40" customFormat="false" ht="15" hidden="false" customHeight="false" outlineLevel="0" collapsed="false">
      <c r="A40" s="9" t="s">
        <v>133</v>
      </c>
      <c r="B40" s="10" t="s">
        <v>174</v>
      </c>
      <c r="C40" s="11" t="s">
        <v>295</v>
      </c>
      <c r="D40" s="12"/>
      <c r="E40" s="12" t="s">
        <v>296</v>
      </c>
      <c r="F40" s="12" t="s">
        <v>297</v>
      </c>
      <c r="G40" s="10" t="s">
        <v>179</v>
      </c>
    </row>
    <row r="41" customFormat="false" ht="15" hidden="false" customHeight="false" outlineLevel="0" collapsed="false">
      <c r="A41" s="9" t="s">
        <v>133</v>
      </c>
      <c r="B41" s="10" t="s">
        <v>180</v>
      </c>
      <c r="C41" s="11" t="s">
        <v>298</v>
      </c>
      <c r="D41" s="12"/>
      <c r="E41" s="12" t="s">
        <v>299</v>
      </c>
      <c r="F41" s="12" t="s">
        <v>300</v>
      </c>
      <c r="G41" s="10"/>
    </row>
    <row r="42" customFormat="false" ht="15" hidden="false" customHeight="false" outlineLevel="0" collapsed="false">
      <c r="A42" s="9" t="s">
        <v>133</v>
      </c>
      <c r="B42" s="10" t="s">
        <v>185</v>
      </c>
      <c r="C42" s="11" t="s">
        <v>301</v>
      </c>
      <c r="D42" s="12"/>
      <c r="E42" s="12" t="s">
        <v>302</v>
      </c>
      <c r="F42" s="12" t="s">
        <v>303</v>
      </c>
      <c r="G42" s="10"/>
    </row>
    <row r="43" customFormat="false" ht="15" hidden="false" customHeight="false" outlineLevel="0" collapsed="false">
      <c r="A43" s="17" t="s">
        <v>140</v>
      </c>
      <c r="B43" s="18" t="s">
        <v>174</v>
      </c>
      <c r="C43" s="19" t="s">
        <v>304</v>
      </c>
      <c r="D43" s="20"/>
      <c r="E43" s="20" t="s">
        <v>305</v>
      </c>
      <c r="F43" s="20" t="s">
        <v>306</v>
      </c>
      <c r="G43" s="18"/>
    </row>
    <row r="44" customFormat="false" ht="15" hidden="false" customHeight="false" outlineLevel="0" collapsed="false">
      <c r="A44" s="17" t="s">
        <v>140</v>
      </c>
      <c r="B44" s="18" t="s">
        <v>180</v>
      </c>
      <c r="C44" s="19" t="s">
        <v>307</v>
      </c>
      <c r="D44" s="20"/>
      <c r="E44" s="20" t="s">
        <v>308</v>
      </c>
      <c r="F44" s="20" t="s">
        <v>309</v>
      </c>
      <c r="G44" s="18"/>
    </row>
    <row r="45" customFormat="false" ht="28.35" hidden="false" customHeight="false" outlineLevel="0" collapsed="false">
      <c r="A45" s="17" t="s">
        <v>140</v>
      </c>
      <c r="B45" s="18" t="s">
        <v>185</v>
      </c>
      <c r="C45" s="19" t="s">
        <v>310</v>
      </c>
      <c r="D45" s="20"/>
      <c r="E45" s="20" t="s">
        <v>311</v>
      </c>
      <c r="F45" s="20" t="s">
        <v>312</v>
      </c>
      <c r="G45" s="18" t="s">
        <v>179</v>
      </c>
    </row>
    <row r="46" customFormat="false" ht="41.75" hidden="false" customHeight="false" outlineLevel="0" collapsed="false">
      <c r="A46" s="9" t="s">
        <v>147</v>
      </c>
      <c r="B46" s="10" t="s">
        <v>174</v>
      </c>
      <c r="C46" s="11" t="s">
        <v>313</v>
      </c>
      <c r="D46" s="12"/>
      <c r="E46" s="12" t="s">
        <v>314</v>
      </c>
      <c r="F46" s="12" t="s">
        <v>315</v>
      </c>
      <c r="G46" s="10" t="s">
        <v>179</v>
      </c>
    </row>
    <row r="47" customFormat="false" ht="15" hidden="false" customHeight="false" outlineLevel="0" collapsed="false">
      <c r="A47" s="9" t="s">
        <v>147</v>
      </c>
      <c r="B47" s="10" t="s">
        <v>180</v>
      </c>
      <c r="C47" s="11" t="s">
        <v>316</v>
      </c>
      <c r="D47" s="12"/>
      <c r="E47" s="12" t="s">
        <v>302</v>
      </c>
      <c r="F47" s="12" t="s">
        <v>317</v>
      </c>
      <c r="G47" s="10"/>
    </row>
    <row r="48" customFormat="false" ht="15" hidden="false" customHeight="false" outlineLevel="0" collapsed="false">
      <c r="A48" s="17" t="s">
        <v>154</v>
      </c>
      <c r="B48" s="18" t="s">
        <v>174</v>
      </c>
      <c r="C48" s="19" t="s">
        <v>318</v>
      </c>
      <c r="D48" s="20"/>
      <c r="E48" s="20" t="s">
        <v>319</v>
      </c>
      <c r="F48" s="20" t="s">
        <v>320</v>
      </c>
      <c r="G48" s="18"/>
    </row>
    <row r="49" customFormat="false" ht="41.75" hidden="false" customHeight="false" outlineLevel="0" collapsed="false">
      <c r="A49" s="17" t="s">
        <v>154</v>
      </c>
      <c r="B49" s="18" t="s">
        <v>180</v>
      </c>
      <c r="C49" s="19" t="s">
        <v>321</v>
      </c>
      <c r="D49" s="20"/>
      <c r="E49" s="20" t="s">
        <v>322</v>
      </c>
      <c r="F49" s="20" t="s">
        <v>323</v>
      </c>
      <c r="G49" s="18" t="s">
        <v>179</v>
      </c>
    </row>
    <row r="50" customFormat="false" ht="15" hidden="false" customHeight="false" outlineLevel="0" collapsed="false">
      <c r="A50" s="17" t="s">
        <v>154</v>
      </c>
      <c r="B50" s="18" t="s">
        <v>185</v>
      </c>
      <c r="C50" s="19" t="s">
        <v>324</v>
      </c>
      <c r="D50" s="20"/>
      <c r="E50" s="20" t="s">
        <v>50</v>
      </c>
      <c r="F50" s="20" t="s">
        <v>325</v>
      </c>
      <c r="G50" s="18"/>
    </row>
    <row r="51" customFormat="false" ht="15" hidden="false" customHeight="false" outlineLevel="0" collapsed="false">
      <c r="A51" s="9" t="s">
        <v>161</v>
      </c>
      <c r="B51" s="10" t="s">
        <v>174</v>
      </c>
      <c r="C51" s="11" t="s">
        <v>326</v>
      </c>
      <c r="D51" s="12"/>
      <c r="E51" s="12" t="s">
        <v>327</v>
      </c>
      <c r="F51" s="12" t="s">
        <v>328</v>
      </c>
      <c r="G51" s="10" t="s">
        <v>179</v>
      </c>
    </row>
    <row r="52" customFormat="false" ht="15" hidden="false" customHeight="false" outlineLevel="0" collapsed="false">
      <c r="A52" s="9" t="s">
        <v>161</v>
      </c>
      <c r="B52" s="10" t="s">
        <v>180</v>
      </c>
      <c r="C52" s="11" t="s">
        <v>329</v>
      </c>
      <c r="D52" s="12"/>
      <c r="E52" s="12" t="s">
        <v>330</v>
      </c>
      <c r="F52" s="12" t="s">
        <v>331</v>
      </c>
      <c r="G52" s="10"/>
    </row>
  </sheetData>
  <autoFilter ref="A1:G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</cols>
  <sheetData>
    <row r="2" customFormat="false" ht="19.7" hidden="false" customHeight="false" outlineLevel="0" collapsed="false">
      <c r="B2" s="1" t="s">
        <v>332</v>
      </c>
    </row>
    <row r="4" customFormat="false" ht="15" hidden="false" customHeight="false" outlineLevel="0" collapsed="false">
      <c r="B4" s="8" t="s">
        <v>333</v>
      </c>
      <c r="C4" s="8" t="s">
        <v>334</v>
      </c>
      <c r="D4" s="8" t="s">
        <v>335</v>
      </c>
    </row>
    <row r="5" customFormat="false" ht="15" hidden="false" customHeight="false" outlineLevel="0" collapsed="false">
      <c r="B5" s="21" t="s">
        <v>336</v>
      </c>
      <c r="C5" s="10" t="n">
        <f aca="false">COUNTA(Questions!$A$2:$A$19)</f>
        <v>18</v>
      </c>
      <c r="D5" s="10" t="n">
        <f aca="false">COUNTIF(Questions!$B$2:$B$19,"⚑")</f>
        <v>11</v>
      </c>
    </row>
    <row r="6" customFormat="false" ht="15" hidden="false" customHeight="false" outlineLevel="0" collapsed="false">
      <c r="B6" s="21" t="s">
        <v>44</v>
      </c>
      <c r="C6" s="10" t="n">
        <f aca="false">COUNTIF(Questions!$P$2:$P$19,"Open")</f>
        <v>18</v>
      </c>
      <c r="D6" s="10" t="n">
        <f aca="false">COUNTIFS(Questions!$P$2:$P$19,"Open",Questions!$B$2:$B$19,"⚑")</f>
        <v>11</v>
      </c>
    </row>
    <row r="7" customFormat="false" ht="15" hidden="false" customHeight="false" outlineLevel="0" collapsed="false">
      <c r="B7" s="21" t="s">
        <v>337</v>
      </c>
      <c r="C7" s="10" t="n">
        <f aca="false">COUNTIF(Questions!$P$2:$P$19,"Answered")</f>
        <v>0</v>
      </c>
      <c r="D7" s="10" t="n">
        <f aca="false">COUNTIFS(Questions!$P$2:$P$19,"Answered",Questions!$B$2:$B$19,"⚑")</f>
        <v>0</v>
      </c>
    </row>
    <row r="8" customFormat="false" ht="15" hidden="false" customHeight="false" outlineLevel="0" collapsed="false">
      <c r="B8" s="21" t="s">
        <v>338</v>
      </c>
      <c r="C8" s="10" t="n">
        <f aca="false">COUNTIF(Questions!$P$2:$P$19,"Needs follow-up")</f>
        <v>0</v>
      </c>
      <c r="D8" s="10" t="n">
        <f aca="false">COUNTIFS(Questions!$P$2:$P$19,"Needs follow-up",Questions!$B$2:$B$19,"⚑")</f>
        <v>0</v>
      </c>
    </row>
    <row r="9" customFormat="false" ht="15" hidden="false" customHeight="false" outlineLevel="0" collapsed="false">
      <c r="B9" s="21" t="s">
        <v>339</v>
      </c>
      <c r="C9" s="10" t="n">
        <f aca="false">COUNTIF(Questions!$P$2:$P$19,"Parked")</f>
        <v>0</v>
      </c>
      <c r="D9" s="10" t="n">
        <f aca="false">COUNTIFS(Questions!$P$2:$P$19,"Parked",Questions!$B$2:$B$19,"⚑")</f>
        <v>0</v>
      </c>
    </row>
    <row r="10" customFormat="false" ht="15" hidden="false" customHeight="false" outlineLevel="0" collapsed="false">
      <c r="B10" s="21" t="s">
        <v>340</v>
      </c>
      <c r="C10" s="22" t="n">
        <f aca="false">IFERROR(C8/C5,0)</f>
        <v>0</v>
      </c>
      <c r="D10" s="22" t="n">
        <f aca="false">IFERROR(D8/D5,0)</f>
        <v>0</v>
      </c>
    </row>
    <row r="13" customFormat="false" ht="15" hidden="false" customHeight="false" outlineLevel="0" collapsed="false">
      <c r="B13" s="4" t="s">
        <v>341</v>
      </c>
    </row>
    <row r="14" customFormat="false" ht="15" hidden="false" customHeight="false" outlineLevel="0" collapsed="false">
      <c r="B14" s="8" t="s">
        <v>24</v>
      </c>
      <c r="C14" s="8" t="s">
        <v>342</v>
      </c>
      <c r="D14" s="8" t="s">
        <v>343</v>
      </c>
    </row>
    <row r="15" customFormat="false" ht="15" hidden="false" customHeight="false" outlineLevel="0" collapsed="false">
      <c r="B15" s="23" t="s">
        <v>49</v>
      </c>
      <c r="C15" s="10" t="n">
        <f aca="false">COUNTIF(Questions!$F$2:$F$19,B15)</f>
        <v>9</v>
      </c>
      <c r="D15" s="10" t="n">
        <f aca="false">COUNTIFS(Questions!$F$2:$F$19,B15,Questions!$P$2:$P$19,"&lt;&gt;Answered")</f>
        <v>9</v>
      </c>
    </row>
    <row r="16" customFormat="false" ht="15" hidden="false" customHeight="false" outlineLevel="0" collapsed="false">
      <c r="B16" s="23" t="s">
        <v>39</v>
      </c>
      <c r="C16" s="10" t="n">
        <f aca="false">COUNTIF(Questions!$F$2:$F$19,B16)</f>
        <v>7</v>
      </c>
      <c r="D16" s="10" t="n">
        <f aca="false">COUNTIFS(Questions!$F$2:$F$19,B16,Questions!$P$2:$P$19,"&lt;&gt;Answered")</f>
        <v>7</v>
      </c>
    </row>
    <row r="17" customFormat="false" ht="15" hidden="false" customHeight="false" outlineLevel="0" collapsed="false">
      <c r="B17" s="23" t="s">
        <v>72</v>
      </c>
      <c r="C17" s="10" t="n">
        <f aca="false">COUNTIF(Questions!$F$2:$F$19,B17)</f>
        <v>2</v>
      </c>
      <c r="D17" s="10" t="n">
        <f aca="false">COUNTIFS(Questions!$F$2:$F$19,B17,Questions!$P$2:$P$19,"&lt;&gt;Answered")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2026-10-08T18:51:12Z</dcterms:created>
  <dc:creator>openpyxl</dc:creator>
  <dc:description/>
  <dc:language>en-US</dc:language>
  <cp:lastModifiedBy/>
  <dcterms:modified xsi:type="dcterms:W3CDTF">2026-10-08T18:51:12Z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