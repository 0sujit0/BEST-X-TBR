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missions" sheetId="1" state="visible" r:id="rId3"/>
    <sheet name="Role summary" sheetId="2" state="visible" r:id="rId4"/>
    <sheet name="Open points" sheetId="3" state="visible" r:id="rId5"/>
  </sheets>
  <definedNames>
    <definedName function="false" hidden="false" localSheetId="0" name="_xlnm.Print_Titles" vbProcedure="false">Permissions!$4:$4</definedName>
    <definedName function="false" hidden="true" localSheetId="0" name="_xlnm._FilterDatabase" vbProcedure="false">Permissions!$A$4:$P$104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<sst xmlns="http://schemas.openxmlformats.org/spreadsheetml/2006/main" count="1474" uniqueCount="416">
  <si>
    <t xml:space="preserve">Clinic user permissions — full list</t>
  </si>
  <si>
    <t xml:space="preserve">Draft for review · 28 October 2026 · Each colour is one module. Role columns show default access: Own = user’s own sessions · Assigned = clients and therapists assigned to the user · Clinic = whole clinic · — = not granted. Status: Agreed = in PRD, agreed flows or FSD · Pending = raised, not confirmed · Proposed = suggested to close a gap.</t>
  </si>
  <si>
    <t xml:space="preserve">ID</t>
  </si>
  <si>
    <t xml:space="preserve">Module</t>
  </si>
  <si>
    <t xml:space="preserve">Permission</t>
  </si>
  <si>
    <t xml:space="preserve">What it allows</t>
  </si>
  <si>
    <t xml:space="preserve">Level</t>
  </si>
  <si>
    <t xml:space="preserve">Therapist</t>
  </si>
  <si>
    <t xml:space="preserve">Supervisor (BCBA)</t>
  </si>
  <si>
    <t xml:space="preserve">Org Admin</t>
  </si>
  <si>
    <t xml:space="preserve">Scheduler (pending)</t>
  </si>
  <si>
    <t xml:space="preserve">Contains PHI</t>
  </si>
  <si>
    <t xml:space="preserve">Admin access (MFA mandatory)</t>
  </si>
  <si>
    <t xml:space="preserve">Password re-entry</t>
  </si>
  <si>
    <t xml:space="preserve">Audit logged</t>
  </si>
  <si>
    <t xml:space="preserve">Depends on</t>
  </si>
  <si>
    <t xml:space="preserve">Status</t>
  </si>
  <si>
    <t xml:space="preserve">Source</t>
  </si>
  <si>
    <t xml:space="preserve">My account  ·  5 permissions</t>
  </si>
  <si>
    <t xml:space="preserve">ACC-01</t>
  </si>
  <si>
    <t xml:space="preserve">My account</t>
  </si>
  <si>
    <t xml:space="preserve">Log in and log out</t>
  </si>
  <si>
    <t xml:space="preserve">Sign in with email and password; sign out</t>
  </si>
  <si>
    <t xml:space="preserve">Always on</t>
  </si>
  <si>
    <t xml:space="preserve">Own</t>
  </si>
  <si>
    <t xml:space="preserve">No</t>
  </si>
  <si>
    <t xml:space="preserve">Yes</t>
  </si>
  <si>
    <t xml:space="preserve">—</t>
  </si>
  <si>
    <t xml:space="preserve">Agreed</t>
  </si>
  <si>
    <t xml:space="preserve">FSD v0.3 S5; PRD 8.1</t>
  </si>
  <si>
    <t xml:space="preserve">ACC-02</t>
  </si>
  <si>
    <t xml:space="preserve">Change or reset own password</t>
  </si>
  <si>
    <t xml:space="preserve">Set a new password at first login; reset through Forgot password</t>
  </si>
  <si>
    <t xml:space="preserve">FSD v0.3 S6, S8</t>
  </si>
  <si>
    <t xml:space="preserve">ACC-03</t>
  </si>
  <si>
    <t xml:space="preserve">Enter email code at login</t>
  </si>
  <si>
    <t xml:space="preserve">Complete MFA when required for the user</t>
  </si>
  <si>
    <t xml:space="preserve">MFA on for the user</t>
  </si>
  <si>
    <t xml:space="preserve">FSD v0.3 S7, BR-11</t>
  </si>
  <si>
    <t xml:space="preserve">ACC-04</t>
  </si>
  <si>
    <t xml:space="preserve">View own notifications</t>
  </si>
  <si>
    <t xml:space="preserve">Reminders, supervisor notes and tasks, alerts addressed to the user</t>
  </si>
  <si>
    <t xml:space="preserve">Therapist flow draft; PRD 8.6</t>
  </si>
  <si>
    <t xml:space="preserve">ACC-05</t>
  </si>
  <si>
    <t xml:space="preserve">View own profile and permissions</t>
  </si>
  <si>
    <t xml:space="preserve">See own details, role and the modules granted</t>
  </si>
  <si>
    <t xml:space="preserve">Proposed</t>
  </si>
  <si>
    <t xml:space="preserve">Not yet in flows</t>
  </si>
  <si>
    <t xml:space="preserve">Dashboard  ·  4 permissions</t>
  </si>
  <si>
    <t xml:space="preserve">DSH-01</t>
  </si>
  <si>
    <t xml:space="preserve">Dashboard</t>
  </si>
  <si>
    <t xml:space="preserve">View therapist dashboard</t>
  </si>
  <si>
    <t xml:space="preserve">Today’s sessions, pending items, summaries ready, notes and tasks from the supervisor</t>
  </si>
  <si>
    <t xml:space="preserve">View</t>
  </si>
  <si>
    <t xml:space="preserve">Therapist flow; PRD 8.7</t>
  </si>
  <si>
    <t xml:space="preserve">DSH-02</t>
  </si>
  <si>
    <t xml:space="preserve">View caseload dashboard</t>
  </si>
  <si>
    <t xml:space="preserve">Caseload overview, flagged sessions, trend summaries</t>
  </si>
  <si>
    <t xml:space="preserve">Assigned</t>
  </si>
  <si>
    <t xml:space="preserve">Supervisor flow D-013; PRD 8.7</t>
  </si>
  <si>
    <t xml:space="preserve">DSH-03</t>
  </si>
  <si>
    <t xml:space="preserve">View organization dashboard</t>
  </si>
  <si>
    <t xml:space="preserve">Active users, active clients, locations, pending actions, license use</t>
  </si>
  <si>
    <t xml:space="preserve">Clinic</t>
  </si>
  <si>
    <t xml:space="preserve">PRD 8.7</t>
  </si>
  <si>
    <t xml:space="preserve">DSH-04</t>
  </si>
  <si>
    <t xml:space="preserve">View trends with detail on hover</t>
  </si>
  <si>
    <t xml:space="preserve">Trend charts by default; exact values shown on hover</t>
  </si>
  <si>
    <t xml:space="preserve">Review meeting 22 Oct</t>
  </si>
  <si>
    <t xml:space="preserve">Sessions  ·  20 permissions</t>
  </si>
  <si>
    <t xml:space="preserve">SES-01</t>
  </si>
  <si>
    <t xml:space="preserve">Sessions</t>
  </si>
  <si>
    <t xml:space="preserve">View session schedule</t>
  </si>
  <si>
    <t xml:space="preserve">See scheduled sessions and their status</t>
  </si>
  <si>
    <t xml:space="preserve">PRD 8.2</t>
  </si>
  <si>
    <t xml:space="preserve">SES-02</t>
  </si>
  <si>
    <t xml:space="preserve">Create a session</t>
  </si>
  <si>
    <t xml:space="preserve">Schedule a session for a client and therapist</t>
  </si>
  <si>
    <t xml:space="preserve">Edit</t>
  </si>
  <si>
    <t xml:space="preserve">Pending</t>
  </si>
  <si>
    <t xml:space="preserve">Review meeting 22 Oct: Scheduler or BCBA to be confirmed</t>
  </si>
  <si>
    <t xml:space="preserve">SES-03</t>
  </si>
  <si>
    <t xml:space="preserve">Reschedule or edit a session</t>
  </si>
  <si>
    <t xml:space="preserve">Change date, time, therapist or session type</t>
  </si>
  <si>
    <t xml:space="preserve">As SES-02</t>
  </si>
  <si>
    <t xml:space="preserve">SES-04</t>
  </si>
  <si>
    <t xml:space="preserve">Cancel a session or mark a no-show</t>
  </si>
  <si>
    <t xml:space="preserve">With a reason; nothing is sent to the AI vendor</t>
  </si>
  <si>
    <t xml:space="preserve">Therapist flow D-017</t>
  </si>
  <si>
    <t xml:space="preserve">SES-05</t>
  </si>
  <si>
    <t xml:space="preserve">Bulk import sessions (CSV)</t>
  </si>
  <si>
    <t xml:space="preserve">Upload a schedule file, fix errors, confirm</t>
  </si>
  <si>
    <t xml:space="preserve">PRD 8.2; Org Admin flow D-014</t>
  </si>
  <si>
    <t xml:space="preserve">SES-06</t>
  </si>
  <si>
    <t xml:space="preserve">Start an in-person session</t>
  </si>
  <si>
    <t xml:space="preserve">Starts monitoring; wearable and audio device linked</t>
  </si>
  <si>
    <t xml:space="preserve">Valid consent; current assessment</t>
  </si>
  <si>
    <t xml:space="preserve">Therapist flow</t>
  </si>
  <si>
    <t xml:space="preserve">SES-07</t>
  </si>
  <si>
    <t xml:space="preserve">Start an online session</t>
  </si>
  <si>
    <t xml:space="preserve">Sends the parent a guest link; call recorded automatically</t>
  </si>
  <si>
    <t xml:space="preserve">Telehealth enabled on license; consent</t>
  </si>
  <si>
    <t xml:space="preserve">Therapist flow; PRD 17</t>
  </si>
  <si>
    <t xml:space="preserve">SES-08</t>
  </si>
  <si>
    <t xml:space="preserve">Pause and resume a session</t>
  </si>
  <si>
    <t xml:space="preserve">Pause is marked in the timeline; alert after the set time</t>
  </si>
  <si>
    <t xml:space="preserve">Therapist flow draft 18 Oct</t>
  </si>
  <si>
    <t xml:space="preserve">SES-09</t>
  </si>
  <si>
    <t xml:space="preserve">Pause and resume the call recording</t>
  </si>
  <si>
    <t xml:space="preserve">Online sessions only; call continues</t>
  </si>
  <si>
    <t xml:space="preserve">Online session</t>
  </si>
  <si>
    <t xml:space="preserve">Therapist flow 15 Oct</t>
  </si>
  <si>
    <t xml:space="preserve">SES-10</t>
  </si>
  <si>
    <t xml:space="preserve">End a session</t>
  </si>
  <si>
    <t xml:space="preserve">Manual end; the system also ends it at window close</t>
  </si>
  <si>
    <t xml:space="preserve">SES-11</t>
  </si>
  <si>
    <t xml:space="preserve">Tick checklist items</t>
  </si>
  <si>
    <t xml:space="preserve">Time-stamped; items cannot be added or removed</t>
  </si>
  <si>
    <t xml:space="preserve">SES-12</t>
  </si>
  <si>
    <t xml:space="preserve">Add notes, observations and markers</t>
  </si>
  <si>
    <t xml:space="preserve">Typed on screen during the session</t>
  </si>
  <si>
    <t xml:space="preserve">PRD 8.3; review meeting 22 Oct</t>
  </si>
  <si>
    <t xml:space="preserve">SES-13</t>
  </si>
  <si>
    <t xml:space="preserve">Acknowledge soft alerts</t>
  </si>
  <si>
    <t xml:space="preserve">In-person sessions only</t>
  </si>
  <si>
    <t xml:space="preserve">PRD 8.6</t>
  </si>
  <si>
    <t xml:space="preserve">SES-14</t>
  </si>
  <si>
    <t xml:space="preserve">Create tasks and follow-ups</t>
  </si>
  <si>
    <t xml:space="preserve">Linked to a session or client</t>
  </si>
  <si>
    <t xml:space="preserve">PRD 8.3</t>
  </si>
  <si>
    <t xml:space="preserve">SES-15</t>
  </si>
  <si>
    <t xml:space="preserve">Add attachments</t>
  </si>
  <si>
    <t xml:space="preserve">PDF, text, JPG, video, after the session</t>
  </si>
  <si>
    <t xml:space="preserve">SES-16</t>
  </si>
  <si>
    <t xml:space="preserve">Generate summary without audio</t>
  </si>
  <si>
    <t xml:space="preserve">Manual override when audio is missing, corrupted or late</t>
  </si>
  <si>
    <t xml:space="preserve">SES-17</t>
  </si>
  <si>
    <t xml:space="preserve">View session record</t>
  </si>
  <si>
    <t xml:space="preserve">Timeline, device trends, notes, markers, checklist</t>
  </si>
  <si>
    <t xml:space="preserve">PRD 8.8</t>
  </si>
  <si>
    <t xml:space="preserve">SES-18</t>
  </si>
  <si>
    <t xml:space="preserve">Open attachments and recordings</t>
  </si>
  <si>
    <t xml:space="preserve">View in the platform</t>
  </si>
  <si>
    <t xml:space="preserve">SES-19</t>
  </si>
  <si>
    <t xml:space="preserve">Download attachments and recordings</t>
  </si>
  <si>
    <t xml:space="preserve">Save files outside the platform</t>
  </si>
  <si>
    <t xml:space="preserve">SES-20</t>
  </si>
  <si>
    <t xml:space="preserve">Watch a live session in progress</t>
  </si>
  <si>
    <t xml:space="preserve">Supervisor view of an ongoing session</t>
  </si>
  <si>
    <t xml:space="preserve">Summaries  ·  4 permissions</t>
  </si>
  <si>
    <t xml:space="preserve">SUM-01</t>
  </si>
  <si>
    <t xml:space="preserve">Summaries</t>
  </si>
  <si>
    <t xml:space="preserve">View AI summary</t>
  </si>
  <si>
    <t xml:space="preserve">Visible as soon as it is generated</t>
  </si>
  <si>
    <t xml:space="preserve">Therapist flow draft 15 Oct</t>
  </si>
  <si>
    <t xml:space="preserve">SUM-02</t>
  </si>
  <si>
    <t xml:space="preserve">Add therapist note to the summary</t>
  </si>
  <si>
    <t xml:space="preserve">The summary itself cannot be edited</t>
  </si>
  <si>
    <t xml:space="preserve">SUM-03</t>
  </si>
  <si>
    <t xml:space="preserve">Retry summary generation</t>
  </si>
  <si>
    <t xml:space="preserve">After a failure or timeout</t>
  </si>
  <si>
    <t xml:space="preserve">SUM-04</t>
  </si>
  <si>
    <t xml:space="preserve">Write the summary manually</t>
  </si>
  <si>
    <t xml:space="preserve">Only when generation keeps failing; labeled as written by the therapist</t>
  </si>
  <si>
    <t xml:space="preserve">Supervision  ·  7 permissions</t>
  </si>
  <si>
    <t xml:space="preserve">SPV-01</t>
  </si>
  <si>
    <t xml:space="preserve">Supervision</t>
  </si>
  <si>
    <t xml:space="preserve">View flagged sessions</t>
  </si>
  <si>
    <t xml:space="preserve">Sessions with alerts, most alerts first</t>
  </si>
  <si>
    <t xml:space="preserve">Supervisor flow D-013</t>
  </si>
  <si>
    <t xml:space="preserve">SPV-02</t>
  </si>
  <si>
    <t xml:space="preserve">Compare sessions side by side</t>
  </si>
  <si>
    <t xml:space="preserve">Across sessions of a client</t>
  </si>
  <si>
    <t xml:space="preserve">SPV-03</t>
  </si>
  <si>
    <t xml:space="preserve">Mark a session reviewed</t>
  </si>
  <si>
    <t xml:space="preserve">Logged for audit</t>
  </si>
  <si>
    <t xml:space="preserve">SPV-04</t>
  </si>
  <si>
    <t xml:space="preserve">Add a note or task for a therapist</t>
  </si>
  <si>
    <t xml:space="preserve">Sent to the therapist’s dashboard</t>
  </si>
  <si>
    <t xml:space="preserve">SPV-05</t>
  </si>
  <si>
    <t xml:space="preserve">Remind a therapist</t>
  </si>
  <si>
    <t xml:space="preserve">About pending items</t>
  </si>
  <si>
    <t xml:space="preserve">SPV-06</t>
  </si>
  <si>
    <t xml:space="preserve">Approve clinical documentation</t>
  </si>
  <si>
    <t xml:space="preserve">Where permitted</t>
  </si>
  <si>
    <t xml:space="preserve">Open question Q-19</t>
  </si>
  <si>
    <t xml:space="preserve">SPV-07</t>
  </si>
  <si>
    <t xml:space="preserve">View notes and tasks from the supervisor</t>
  </si>
  <si>
    <t xml:space="preserve">Shown on the therapist dashboard</t>
  </si>
  <si>
    <t xml:space="preserve">Clients  ·  8 permissions</t>
  </si>
  <si>
    <t xml:space="preserve">CLI-01</t>
  </si>
  <si>
    <t xml:space="preserve">Clients</t>
  </si>
  <si>
    <t xml:space="preserve">View client list and profiles</t>
  </si>
  <si>
    <t xml:space="preserve">Client details and status</t>
  </si>
  <si>
    <t xml:space="preserve">PRD 8.2, 8.9</t>
  </si>
  <si>
    <t xml:space="preserve">CLI-02</t>
  </si>
  <si>
    <t xml:space="preserve">Create a client</t>
  </si>
  <si>
    <t xml:space="preserve">Profile and location</t>
  </si>
  <si>
    <t xml:space="preserve">Org Admin flow D-014; PRD 8.9</t>
  </si>
  <si>
    <t xml:space="preserve">CLI-03</t>
  </si>
  <si>
    <t xml:space="preserve">Edit a client profile</t>
  </si>
  <si>
    <t xml:space="preserve">Change details and status</t>
  </si>
  <si>
    <t xml:space="preserve">PRD 8.9</t>
  </si>
  <si>
    <t xml:space="preserve">CLI-04</t>
  </si>
  <si>
    <t xml:space="preserve">Archive a client</t>
  </si>
  <si>
    <t xml:space="preserve">Hidden from active work; never deleted</t>
  </si>
  <si>
    <t xml:space="preserve">CLI-05</t>
  </si>
  <si>
    <t xml:space="preserve">Restore an archived client</t>
  </si>
  <si>
    <t xml:space="preserve">Back into active work</t>
  </si>
  <si>
    <t xml:space="preserve">CLI-06</t>
  </si>
  <si>
    <t xml:space="preserve">View archived clients</t>
  </si>
  <si>
    <t xml:space="preserve">For permitted historical review</t>
  </si>
  <si>
    <t xml:space="preserve">CLI-07</t>
  </si>
  <si>
    <t xml:space="preserve">Assign or reassign the care team</t>
  </si>
  <si>
    <t xml:space="preserve">Therapist and supervisor; one by one or in bulk</t>
  </si>
  <si>
    <t xml:space="preserve">CLI-08</t>
  </si>
  <si>
    <t xml:space="preserve">Bulk import clients (CSV)</t>
  </si>
  <si>
    <t xml:space="preserve">Upload, fix errors, confirm</t>
  </si>
  <si>
    <t xml:space="preserve">Clinic onboarding flow D-018</t>
  </si>
  <si>
    <t xml:space="preserve">Assessments  ·  4 permissions</t>
  </si>
  <si>
    <t xml:space="preserve">ASM-01</t>
  </si>
  <si>
    <t xml:space="preserve">Assessments</t>
  </si>
  <si>
    <t xml:space="preserve">View assessments and scores</t>
  </si>
  <si>
    <t xml:space="preserve">Latest and earlier assessments</t>
  </si>
  <si>
    <t xml:space="preserve">Therapist flow draft</t>
  </si>
  <si>
    <t xml:space="preserve">ASM-02</t>
  </si>
  <si>
    <t xml:space="preserve">Upload assessment report and key scores</t>
  </si>
  <si>
    <t xml:space="preserve">VB-MAPP, ABLLS-R or Vineland results</t>
  </si>
  <si>
    <t xml:space="preserve">ASM-03</t>
  </si>
  <si>
    <t xml:space="preserve">Select the assessment type for a client</t>
  </si>
  <si>
    <t xml:space="preserve">Chosen at client setup, not at each session</t>
  </si>
  <si>
    <t xml:space="preserve">Review meeting 22 Oct; owner to be confirmed</t>
  </si>
  <si>
    <t xml:space="preserve">ASM-04</t>
  </si>
  <si>
    <t xml:space="preserve">Correct or replace an assessment entry</t>
  </si>
  <si>
    <t xml:space="preserve">Fix a wrong upload or score</t>
  </si>
  <si>
    <t xml:space="preserve">Consent  ·  4 permissions</t>
  </si>
  <si>
    <t xml:space="preserve">CON-01</t>
  </si>
  <si>
    <t xml:space="preserve">Consent</t>
  </si>
  <si>
    <t xml:space="preserve">View consent status and records</t>
  </si>
  <si>
    <t xml:space="preserve">Each consent item and its validity</t>
  </si>
  <si>
    <t xml:space="preserve">PRD 8.12</t>
  </si>
  <si>
    <t xml:space="preserve">CON-02</t>
  </si>
  <si>
    <t xml:space="preserve">Record signed consent</t>
  </si>
  <si>
    <t xml:space="preserve">Upload the signed form, once per patient</t>
  </si>
  <si>
    <t xml:space="preserve">CON-03</t>
  </si>
  <si>
    <t xml:space="preserve">Renew an expired consent item</t>
  </si>
  <si>
    <t xml:space="preserve">New signed form for that item</t>
  </si>
  <si>
    <t xml:space="preserve">CON-04</t>
  </si>
  <si>
    <t xml:space="preserve">Record consent withdrawal</t>
  </si>
  <si>
    <t xml:space="preserve">With the date; stops later sessions</t>
  </si>
  <si>
    <t xml:space="preserve">PRD 8.12; therapist flow</t>
  </si>
  <si>
    <t xml:space="preserve">Devices  ·  2 permissions</t>
  </si>
  <si>
    <t xml:space="preserve">DEV-01</t>
  </si>
  <si>
    <t xml:space="preserve">Devices</t>
  </si>
  <si>
    <t xml:space="preserve">View the clinic’s devices</t>
  </si>
  <si>
    <t xml:space="preserve">Wearables and audio devices registered by BEST, with status</t>
  </si>
  <si>
    <t xml:space="preserve">DEV-02</t>
  </si>
  <si>
    <t xml:space="preserve">Assign a device to a client or session</t>
  </si>
  <si>
    <t xml:space="preserve">Link or unlink a device</t>
  </si>
  <si>
    <t xml:space="preserve">Reports  ·  4 permissions</t>
  </si>
  <si>
    <t xml:space="preserve">RPT-01</t>
  </si>
  <si>
    <t xml:space="preserve">Reports</t>
  </si>
  <si>
    <t xml:space="preserve">View client trend reports</t>
  </si>
  <si>
    <t xml:space="preserve">Trends across a client’s sessions</t>
  </si>
  <si>
    <t xml:space="preserve">FSD v0.3 role defaults</t>
  </si>
  <si>
    <t xml:space="preserve">RPT-02</t>
  </si>
  <si>
    <t xml:space="preserve">View therapist and caseload reports</t>
  </si>
  <si>
    <t xml:space="preserve">Activity across the caseload</t>
  </si>
  <si>
    <t xml:space="preserve">RPT-03</t>
  </si>
  <si>
    <t xml:space="preserve">View organization usage reports</t>
  </si>
  <si>
    <t xml:space="preserve">Users, clients, sessions, license use</t>
  </si>
  <si>
    <t xml:space="preserve">RPT-04</t>
  </si>
  <si>
    <t xml:space="preserve">Export reports</t>
  </si>
  <si>
    <t xml:space="preserve">PDF or CSV</t>
  </si>
  <si>
    <t xml:space="preserve">Users &amp; roles  ·  11 permissions</t>
  </si>
  <si>
    <t xml:space="preserve">USR-01</t>
  </si>
  <si>
    <t xml:space="preserve">Users &amp; roles</t>
  </si>
  <si>
    <t xml:space="preserve">View the user list and active-user count</t>
  </si>
  <si>
    <t xml:space="preserve">Users, roles, status, last login</t>
  </si>
  <si>
    <t xml:space="preserve">FSD v0.3 S1</t>
  </si>
  <si>
    <t xml:space="preserve">USR-02</t>
  </si>
  <si>
    <t xml:space="preserve">Create a user</t>
  </si>
  <si>
    <t xml:space="preserve">Details, one role, welcome email</t>
  </si>
  <si>
    <t xml:space="preserve">When admin access is given</t>
  </si>
  <si>
    <t xml:space="preserve">Active-user limit</t>
  </si>
  <si>
    <t xml:space="preserve">FSD v0.3 S2–S3</t>
  </si>
  <si>
    <t xml:space="preserve">USR-03</t>
  </si>
  <si>
    <t xml:space="preserve">Give a user admin access</t>
  </si>
  <si>
    <t xml:space="preserve">View or Edit on Users &amp; roles or Clinic settings</t>
  </si>
  <si>
    <t xml:space="preserve">FSD v0.3 BR-18</t>
  </si>
  <si>
    <t xml:space="preserve">USR-04</t>
  </si>
  <si>
    <t xml:space="preserve">Turn MFA on or off for a non-admin user</t>
  </si>
  <si>
    <t xml:space="preserve">Off by default</t>
  </si>
  <si>
    <t xml:space="preserve">FSD v0.3 S3, BR-11</t>
  </si>
  <si>
    <t xml:space="preserve">USR-05</t>
  </si>
  <si>
    <t xml:space="preserve">Edit a user’s details or role</t>
  </si>
  <si>
    <t xml:space="preserve">After creation; permissions come from the role</t>
  </si>
  <si>
    <t xml:space="preserve">PRD 8.9 (out of FSD v0.3 scope)</t>
  </si>
  <si>
    <t xml:space="preserve">USR-06</t>
  </si>
  <si>
    <t xml:space="preserve">Deactivate a user</t>
  </si>
  <si>
    <t xml:space="preserve">Blocks login; stops counting as an active user</t>
  </si>
  <si>
    <t xml:space="preserve">FSD v0.3 S9, BR-18</t>
  </si>
  <si>
    <t xml:space="preserve">USR-07</t>
  </si>
  <si>
    <t xml:space="preserve">Reactivate a user</t>
  </si>
  <si>
    <t xml:space="preserve">If the active-user limit allows</t>
  </si>
  <si>
    <t xml:space="preserve">FSD v0.3 S9</t>
  </si>
  <si>
    <t xml:space="preserve">USR-08</t>
  </si>
  <si>
    <t xml:space="preserve">Re-send the welcome email</t>
  </si>
  <si>
    <t xml:space="preserve">New temporary password</t>
  </si>
  <si>
    <t xml:space="preserve">FSD v0.3 BR-09</t>
  </si>
  <si>
    <t xml:space="preserve">USR-09</t>
  </si>
  <si>
    <t xml:space="preserve">Create a custom role</t>
  </si>
  <si>
    <t xml:space="preserve">Name, description, permissions; blank or copied from an existing role</t>
  </si>
  <si>
    <t xml:space="preserve">When the role has admin modules</t>
  </si>
  <si>
    <t xml:space="preserve">FSD v0.3 S4, BR-18</t>
  </si>
  <si>
    <t xml:space="preserve">USR-10</t>
  </si>
  <si>
    <t xml:space="preserve">Edit or retire a custom role</t>
  </si>
  <si>
    <t xml:space="preserve">Edits apply to every user holding the role; a role in use cannot be retired</t>
  </si>
  <si>
    <t xml:space="preserve">FSD v0.3 S4, S12; BR-23, BR-24</t>
  </si>
  <si>
    <t xml:space="preserve">USR-11</t>
  </si>
  <si>
    <t xml:space="preserve">View role definitions</t>
  </si>
  <si>
    <t xml:space="preserve">Predefined and custom roles with their modules (S12)</t>
  </si>
  <si>
    <t xml:space="preserve">FSD v0.3 2.2, S12</t>
  </si>
  <si>
    <t xml:space="preserve">Clinic settings  ·  9 permissions</t>
  </si>
  <si>
    <t xml:space="preserve">SET-01</t>
  </si>
  <si>
    <t xml:space="preserve">Clinic settings</t>
  </si>
  <si>
    <t xml:space="preserve">View clinic settings</t>
  </si>
  <si>
    <t xml:space="preserve">All settings below, read only</t>
  </si>
  <si>
    <t xml:space="preserve">SET-02</t>
  </si>
  <si>
    <t xml:space="preserve">Edit organization profile and time zone</t>
  </si>
  <si>
    <t xml:space="preserve">Name, contacts, time zone</t>
  </si>
  <si>
    <t xml:space="preserve">SET-03</t>
  </si>
  <si>
    <t xml:space="preserve">Manage locations</t>
  </si>
  <si>
    <t xml:space="preserve">Add, edit, close a location</t>
  </si>
  <si>
    <t xml:space="preserve">SET-04</t>
  </si>
  <si>
    <t xml:space="preserve">Manage clinic fields for user creation</t>
  </si>
  <si>
    <t xml:space="preserve">Text, number, date or dropdown; optional or mandatory</t>
  </si>
  <si>
    <t xml:space="preserve">FSD v0.3 S2</t>
  </si>
  <si>
    <t xml:space="preserve">SET-05</t>
  </si>
  <si>
    <t xml:space="preserve">Manage clinic consent items</t>
  </si>
  <si>
    <t xml:space="preserve">Add consents on top of BEST’s default set</t>
  </si>
  <si>
    <t xml:space="preserve">Therapist flow draft 15 Oct (with client)</t>
  </si>
  <si>
    <t xml:space="preserve">SET-06</t>
  </si>
  <si>
    <t xml:space="preserve">Set the assessment validity period</t>
  </si>
  <si>
    <t xml:space="preserve">Default 6 months</t>
  </si>
  <si>
    <t xml:space="preserve">SET-07</t>
  </si>
  <si>
    <t xml:space="preserve">Set session defaults</t>
  </si>
  <si>
    <t xml:space="preserve">For example default session length</t>
  </si>
  <si>
    <t xml:space="preserve">SET-08</t>
  </si>
  <si>
    <t xml:space="preserve">Set notification preferences</t>
  </si>
  <si>
    <t xml:space="preserve">Which reminders and notices are sent</t>
  </si>
  <si>
    <t xml:space="preserve">SET-09</t>
  </si>
  <si>
    <t xml:space="preserve">View license details</t>
  </si>
  <si>
    <t xml:space="preserve">Plan, active-user limit, end date, enabled features</t>
  </si>
  <si>
    <t xml:space="preserve">PRD 8.7, 8.11</t>
  </si>
  <si>
    <t xml:space="preserve">Audit log  ·  2 permissions</t>
  </si>
  <si>
    <t xml:space="preserve">AUD-01</t>
  </si>
  <si>
    <t xml:space="preserve">Audit log</t>
  </si>
  <si>
    <t xml:space="preserve">View the audit log</t>
  </si>
  <si>
    <t xml:space="preserve">Logins, user and role changes, consent and client changes</t>
  </si>
  <si>
    <t xml:space="preserve">FSD v0.3 Section 10</t>
  </si>
  <si>
    <t xml:space="preserve">AUD-02</t>
  </si>
  <si>
    <t xml:space="preserve">Export the audit log</t>
  </si>
  <si>
    <t xml:space="preserve">CSV</t>
  </si>
  <si>
    <t xml:space="preserve">Support access  ·  2 permissions</t>
  </si>
  <si>
    <t xml:space="preserve">SUP-01</t>
  </si>
  <si>
    <t xml:space="preserve">Support access</t>
  </si>
  <si>
    <t xml:space="preserve">Approve or decline BEST support access</t>
  </si>
  <si>
    <t xml:space="preserve">Second approval for time-bound access to clinical data</t>
  </si>
  <si>
    <t xml:space="preserve">PRD 8.10; back-office flow D-015</t>
  </si>
  <si>
    <t xml:space="preserve">SUP-02</t>
  </si>
  <si>
    <t xml:space="preserve">View support access history</t>
  </si>
  <si>
    <t xml:space="preserve">Requests, approvals, expiry</t>
  </si>
  <si>
    <t xml:space="preserve">PRD 8.10</t>
  </si>
  <si>
    <t xml:space="preserve">Default permissions per role, by module</t>
  </si>
  <si>
    <t xml:space="preserve">Counts of permissions each role gets by default (anything other than —). Updates when the Permissions sheet changes.</t>
  </si>
  <si>
    <t xml:space="preserve">Permissions</t>
  </si>
  <si>
    <t xml:space="preserve">Admin access module</t>
  </si>
  <si>
    <t xml:space="preserve">Total</t>
  </si>
  <si>
    <t xml:space="preserve">Points to confirm</t>
  </si>
  <si>
    <t xml:space="preserve">Decisions needed before the permission list is final</t>
  </si>
  <si>
    <t xml:space="preserve">#</t>
  </si>
  <si>
    <t xml:space="preserve">Point</t>
  </si>
  <si>
    <t xml:space="preserve">Affects</t>
  </si>
  <si>
    <t xml:space="preserve">Suggestion</t>
  </si>
  <si>
    <t xml:space="preserve">Does a Scheduler role exist, and who creates sessions: Scheduler or BCBA?</t>
  </si>
  <si>
    <t xml:space="preserve">SES-02, SES-03, Scheduler column</t>
  </si>
  <si>
    <t xml:space="preserve">Keep both able to create; final call by BEST</t>
  </si>
  <si>
    <t xml:space="preserve">Who selects the assessment type at client setup?</t>
  </si>
  <si>
    <t xml:space="preserve">Supervisor (BCBA), with Org Admin as backup</t>
  </si>
  <si>
    <t xml:space="preserve">Can supervisors approve clinical documentation, and which documents?</t>
  </si>
  <si>
    <t xml:space="preserve">Close open question Q-19</t>
  </si>
  <si>
    <t xml:space="preserve">Add three new modules: Supervision, Devices, Support access?</t>
  </si>
  <si>
    <t xml:space="preserve">SPV, DEV, SUP rows</t>
  </si>
  <si>
    <t xml:space="preserve">Yes; they cover features already agreed</t>
  </si>
  <si>
    <t xml:space="preserve">Should anyone download attachments, export reports or export the audit log?</t>
  </si>
  <si>
    <t xml:space="preserve">SES-19, RPT-04, AUD-02</t>
  </si>
  <si>
    <t xml:space="preserve">Allow only for Org Admin, with password re-entry</t>
  </si>
  <si>
    <t xml:space="preserve">Should supervisors watch a live session in progress?</t>
  </si>
  <si>
    <t xml:space="preserve">Not in Phase 1</t>
  </si>
  <si>
    <t xml:space="preserve">Who links devices to clients or sessions, and can the clinic see its device list?</t>
  </si>
  <si>
    <t xml:space="preserve">DEV-01, DEV-02</t>
  </si>
  <si>
    <t xml:space="preserve">Org Admin manages; therapist links at session start</t>
  </si>
  <si>
    <t xml:space="preserve">Extend password re-entry to archiving clients, editing users or roles, and support-access approval?</t>
  </si>
  <si>
    <t xml:space="preserve">CLI-04, USR-05, USR-10, SUP-01</t>
  </si>
  <si>
    <t xml:space="preserve">Yes for SUP-01; optional for the others</t>
  </si>
  <si>
    <t xml:space="preserve">Should approving support access count as admin access (mandatory MFA)?</t>
  </si>
  <si>
    <t xml:space="preserve">Replace this catalogue with Adithya’s RBAC list once received, or merge the two?</t>
  </si>
  <si>
    <t xml:space="preserve">All</t>
  </si>
  <si>
    <t xml:space="preserve">Merge: keep IDs, take role defaults from the RBAC list</t>
  </si>
  <si>
    <t xml:space="preserve">FSD v0.3 sets permissions per module (None, View or Edit). That cannot express some defaults here, e.g. a supervisor who views sessions but also creates them. Switch the Create user and Create role screens to permission-level ticks grouped by module?</t>
  </si>
  <si>
    <t xml:space="preserve">FSD v0.3 S3, S4; all rows</t>
  </si>
  <si>
    <t xml:space="preserve">Yes: ticks per permission, with a module-level ‘select all’</t>
  </si>
  <si>
    <t xml:space="preserve">FSD v0.3 gives the Org Admin no Sessions access, but the agreed Org Admin flow (D-014) has the Org Admin scheduling sessions. Allow scheduling only (SES-01 to SES-05), with no session content?</t>
  </si>
  <si>
    <t xml:space="preserve">SES-01 to SES-05; FSD v0.3 2.2</t>
  </si>
  <si>
    <t xml:space="preserve">Yes: schedule only; session records stay hidden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</si>
</sst>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262626"/>
      <name val="Calibri"/>
      <family val="0"/>
      <charset val="1"/>
    </font>
    <font>
      <sz val="10"/>
      <color rgb="FF0F6E56"/>
      <name val="Calibri"/>
      <family val="0"/>
      <charset val="1"/>
    </font>
    <font>
      <b val="true"/>
      <sz val="10"/>
      <color rgb="FF185FA5"/>
      <name val="Calibri"/>
      <family val="0"/>
      <charset val="1"/>
    </font>
    <font>
      <b val="true"/>
      <sz val="10"/>
      <color rgb="FF854F0B"/>
      <name val="Calibri"/>
      <family val="0"/>
      <charset val="1"/>
    </font>
    <font>
      <sz val="11"/>
      <color rgb="FF262626"/>
      <name val="Calibri"/>
      <family val="0"/>
      <charset val="1"/>
    </font>
    <font>
      <b val="true"/>
      <sz val="11"/>
      <name val="Calibri"/>
      <family val="0"/>
      <charset val="1"/>
    </font>
    <font>
      <sz val="10.5"/>
      <name val="Calibri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D9D9"/>
        <bgColor rgb="FFD3DAE4"/>
      </patternFill>
    </fill>
    <fill>
      <patternFill patternType="solid">
        <fgColor rgb="FFF2F2F2"/>
        <bgColor rgb="FFF4F1EC"/>
      </patternFill>
    </fill>
    <fill>
      <patternFill patternType="solid">
        <fgColor rgb="FFC9DDF2"/>
        <bgColor rgb="FFD3DAE4"/>
      </patternFill>
    </fill>
    <fill>
      <patternFill patternType="solid">
        <fgColor rgb="FFEAF2FB"/>
        <bgColor rgb="FFEEF1F5"/>
      </patternFill>
    </fill>
    <fill>
      <patternFill patternType="solid">
        <fgColor rgb="FFBFE3DA"/>
        <bgColor rgb="FFC3E8D1"/>
      </patternFill>
    </fill>
    <fill>
      <patternFill patternType="solid">
        <fgColor rgb="FFE6F4F1"/>
        <bgColor rgb="FFEAF7EF"/>
      </patternFill>
    </fill>
    <fill>
      <patternFill patternType="solid">
        <fgColor rgb="FFD6CCEE"/>
        <bgColor rgb="FFC8CFEE"/>
      </patternFill>
    </fill>
    <fill>
      <patternFill patternType="solid">
        <fgColor rgb="FFEFEBF8"/>
        <bgColor rgb="FFE9ECF8"/>
      </patternFill>
    </fill>
    <fill>
      <patternFill patternType="solid">
        <fgColor rgb="FFD2E8C0"/>
        <bgColor rgb="FFDDE3B8"/>
      </patternFill>
    </fill>
    <fill>
      <patternFill patternType="solid">
        <fgColor rgb="FFEEF6E6"/>
        <bgColor rgb="FFF3F5E6"/>
      </patternFill>
    </fill>
    <fill>
      <patternFill patternType="solid">
        <fgColor rgb="FFF0DDB4"/>
        <bgColor rgb="FFF3E6A6"/>
      </patternFill>
    </fill>
    <fill>
      <patternFill patternType="solid">
        <fgColor rgb="FFFBF3E4"/>
        <bgColor rgb="FFFDF0E3"/>
      </patternFill>
    </fill>
    <fill>
      <patternFill patternType="solid">
        <fgColor rgb="FFBDE6F0"/>
        <bgColor rgb="FFBFE3DA"/>
      </patternFill>
    </fill>
    <fill>
      <patternFill patternType="solid">
        <fgColor rgb="FFE6F6FA"/>
        <bgColor rgb="FFE6F4F1"/>
      </patternFill>
    </fill>
    <fill>
      <patternFill patternType="solid">
        <fgColor rgb="FFF7D3AE"/>
        <bgColor rgb="FFF0DDB4"/>
      </patternFill>
    </fill>
    <fill>
      <patternFill patternType="solid">
        <fgColor rgb="FFFDF0E3"/>
        <bgColor rgb="FFFBF3E4"/>
      </patternFill>
    </fill>
    <fill>
      <patternFill patternType="solid">
        <fgColor rgb="FFD3DAE4"/>
        <bgColor rgb="FFD9D9D9"/>
      </patternFill>
    </fill>
    <fill>
      <patternFill patternType="solid">
        <fgColor rgb="FFEEF1F5"/>
        <bgColor rgb="FFF2F2F2"/>
      </patternFill>
    </fill>
    <fill>
      <patternFill patternType="solid">
        <fgColor rgb="FFC3E8D1"/>
        <bgColor rgb="FFBFE3DA"/>
      </patternFill>
    </fill>
    <fill>
      <patternFill patternType="solid">
        <fgColor rgb="FFEAF7EF"/>
        <bgColor rgb="FFE6F4F1"/>
      </patternFill>
    </fill>
    <fill>
      <patternFill patternType="solid">
        <fgColor rgb="FFC8CFEE"/>
        <bgColor rgb="FFC9D3E0"/>
      </patternFill>
    </fill>
    <fill>
      <patternFill patternType="solid">
        <fgColor rgb="FFE9ECF8"/>
        <bgColor rgb="FFEFEBF8"/>
      </patternFill>
    </fill>
    <fill>
      <patternFill patternType="solid">
        <fgColor rgb="FFDDE3B8"/>
        <bgColor rgb="FFD2E8C0"/>
      </patternFill>
    </fill>
    <fill>
      <patternFill patternType="solid">
        <fgColor rgb="FFF3F5E6"/>
        <bgColor rgb="FFEEF6E6"/>
      </patternFill>
    </fill>
    <fill>
      <patternFill patternType="solid">
        <fgColor rgb="FFDDD5C8"/>
        <bgColor rgb="FFD9D9D9"/>
      </patternFill>
    </fill>
    <fill>
      <patternFill patternType="solid">
        <fgColor rgb="FFF4F1EC"/>
        <bgColor rgb="FFF2F2F2"/>
      </patternFill>
    </fill>
    <fill>
      <patternFill patternType="solid">
        <fgColor rgb="FFF3E6A6"/>
        <bgColor rgb="FFF0DDB4"/>
      </patternFill>
    </fill>
    <fill>
      <patternFill patternType="solid">
        <fgColor rgb="FFFDF9E3"/>
        <bgColor rgb="FFFBF3E4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/>
      <top/>
      <bottom style="thin">
        <color rgb="FFC9D3E0"/>
      </bottom>
      <diagonal/>
    </border>
    <border diagonalUp="false" diagonalDown="false">
      <left/>
      <right/>
      <top style="thin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BDE6F0"/>
          <bgColor rgb="FF000000"/>
        </patternFill>
      </fill>
    </dxf>
    <dxf>
      <fill>
        <patternFill patternType="solid">
          <fgColor rgb="FFBFE3DA"/>
          <bgColor rgb="FF000000"/>
        </patternFill>
      </fill>
    </dxf>
    <dxf>
      <fill>
        <patternFill patternType="solid">
          <fgColor rgb="FFC3E8D1"/>
          <bgColor rgb="FF000000"/>
        </patternFill>
      </fill>
    </dxf>
    <dxf>
      <fill>
        <patternFill patternType="solid">
          <fgColor rgb="FFC8CFEE"/>
          <bgColor rgb="FF000000"/>
        </patternFill>
      </fill>
    </dxf>
    <dxf>
      <fill>
        <patternFill patternType="solid">
          <fgColor rgb="FFC9DDF2"/>
          <bgColor rgb="FF000000"/>
        </patternFill>
      </fill>
    </dxf>
    <dxf>
      <fill>
        <patternFill patternType="solid">
          <fgColor rgb="FFD2E8C0"/>
          <bgColor rgb="FF000000"/>
        </patternFill>
      </fill>
    </dxf>
    <dxf>
      <fill>
        <patternFill patternType="solid">
          <fgColor rgb="FFD3DAE4"/>
          <bgColor rgb="FF000000"/>
        </patternFill>
      </fill>
    </dxf>
    <dxf>
      <fill>
        <patternFill patternType="solid">
          <fgColor rgb="FFD6CCE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D5C8"/>
          <bgColor rgb="FF000000"/>
        </patternFill>
      </fill>
    </dxf>
    <dxf>
      <fill>
        <patternFill patternType="solid">
          <fgColor rgb="FFDDE3B8"/>
          <bgColor rgb="FF000000"/>
        </patternFill>
      </fill>
    </dxf>
    <dxf>
      <fill>
        <patternFill patternType="solid">
          <fgColor rgb="FFE6F4F1"/>
          <bgColor rgb="FF000000"/>
        </patternFill>
      </fill>
    </dxf>
    <dxf>
      <fill>
        <patternFill patternType="solid">
          <fgColor rgb="FFE6F6FA"/>
          <bgColor rgb="FF000000"/>
        </patternFill>
      </fill>
    </dxf>
    <dxf>
      <fill>
        <patternFill patternType="solid">
          <fgColor rgb="FFE9ECF8"/>
          <bgColor rgb="FF000000"/>
        </patternFill>
      </fill>
    </dxf>
    <dxf>
      <fill>
        <patternFill patternType="solid">
          <fgColor rgb="FFEAF2FB"/>
          <bgColor rgb="FF000000"/>
        </patternFill>
      </fill>
    </dxf>
    <dxf>
      <fill>
        <patternFill patternType="solid">
          <fgColor rgb="FFEAF7EF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 patternType="solid">
          <fgColor rgb="FFEEF6E6"/>
          <bgColor rgb="FF000000"/>
        </patternFill>
      </fill>
    </dxf>
    <dxf>
      <fill>
        <patternFill patternType="solid">
          <fgColor rgb="FFEFEBF8"/>
          <bgColor rgb="FF000000"/>
        </patternFill>
      </fill>
    </dxf>
    <dxf>
      <fill>
        <patternFill patternType="solid">
          <fgColor rgb="FFF0DDB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3E6A6"/>
          <bgColor rgb="FF000000"/>
        </patternFill>
      </fill>
    </dxf>
    <dxf>
      <fill>
        <patternFill patternType="solid">
          <fgColor rgb="FFF3F5E6"/>
          <bgColor rgb="FF000000"/>
        </patternFill>
      </fill>
    </dxf>
    <dxf>
      <fill>
        <patternFill patternType="solid">
          <fgColor rgb="FFF4F1EC"/>
          <bgColor rgb="FF000000"/>
        </patternFill>
      </fill>
    </dxf>
    <dxf>
      <fill>
        <patternFill patternType="solid">
          <fgColor rgb="FFF7D3AE"/>
          <bgColor rgb="FF000000"/>
        </patternFill>
      </fill>
    </dxf>
    <dxf>
      <fill>
        <patternFill patternType="solid">
          <fgColor rgb="FFFBF3E4"/>
          <bgColor rgb="FF000000"/>
        </patternFill>
      </fill>
    </dxf>
    <dxf>
      <fill>
        <patternFill patternType="solid">
          <fgColor rgb="FFFDF0E3"/>
          <bgColor rgb="FF000000"/>
        </patternFill>
      </fill>
    </dxf>
    <dxf>
      <fill>
        <patternFill patternType="solid">
          <fgColor rgb="FFFDF9E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62626"/>
          <bgColor rgb="FF000000"/>
        </patternFill>
      </fill>
    </dxf>
    <dxf>
      <fill>
        <patternFill patternType="solid">
          <fgColor rgb="FF0F6E56"/>
          <bgColor rgb="FF000000"/>
        </patternFill>
      </fill>
    </dxf>
    <dxf>
      <fill>
        <patternFill patternType="solid">
          <fgColor rgb="FF185FA5"/>
          <bgColor rgb="FF000000"/>
        </patternFill>
      </fill>
    </dxf>
    <dxf>
      <fill>
        <patternFill patternType="solid">
          <fgColor rgb="FF854F0B"/>
          <bgColor rgb="FF000000"/>
        </patternFill>
      </fill>
    </dxf>
  </dxfs>
  <colors>
    <indexedColors>
      <rgbColor rgb="FF000000"/>
      <rgbColor rgb="FFFFFFFF"/>
      <rgbColor rgb="FFFF0000"/>
      <rgbColor rgb="FFF3F5E6"/>
      <rgbColor rgb="FF0000FF"/>
      <rgbColor rgb="FFDDE3B8"/>
      <rgbColor rgb="FFFF00FF"/>
      <rgbColor rgb="FFEAF7EF"/>
      <rgbColor rgb="FF800000"/>
      <rgbColor rgb="FF008000"/>
      <rgbColor rgb="FF000080"/>
      <rgbColor rgb="FFEEF6E6"/>
      <rgbColor rgb="FF800080"/>
      <rgbColor rgb="FF0F6E56"/>
      <rgbColor rgb="FFC9D3E0"/>
      <rgbColor rgb="FFE9ECF8"/>
      <rgbColor rgb="FFC9DDF2"/>
      <rgbColor rgb="FF993366"/>
      <rgbColor rgb="FFFDF9E3"/>
      <rgbColor rgb="FFE6F6FA"/>
      <rgbColor rgb="FF660066"/>
      <rgbColor rgb="FFD3DAE4"/>
      <rgbColor rgb="FF185FA5"/>
      <rgbColor rgb="FFC8CFEE"/>
      <rgbColor rgb="FF000080"/>
      <rgbColor rgb="FFFF00FF"/>
      <rgbColor rgb="FFFDF0E3"/>
      <rgbColor rgb="FFEAF2FB"/>
      <rgbColor rgb="FF800080"/>
      <rgbColor rgb="FF800000"/>
      <rgbColor rgb="FF008080"/>
      <rgbColor rgb="FF0000FF"/>
      <rgbColor rgb="FFEEF1F5"/>
      <rgbColor rgb="FFE6F4F1"/>
      <rgbColor rgb="FFD2E8C0"/>
      <rgbColor rgb="FFF3E6A6"/>
      <rgbColor rgb="FFBDE6F0"/>
      <rgbColor rgb="FFDDD5C8"/>
      <rgbColor rgb="FFD6CCEE"/>
      <rgbColor rgb="FFF7D3AE"/>
      <rgbColor rgb="FFF2F2F2"/>
      <rgbColor rgb="FFBFE3DA"/>
      <rgbColor rgb="FFC3E8D1"/>
      <rgbColor rgb="FFF0DDB4"/>
      <rgbColor rgb="FFFBF3E4"/>
      <rgbColor rgb="FFF4F1EC"/>
      <rgbColor rgb="FF595959"/>
      <rgbColor rgb="FFD9D9D9"/>
      <rgbColor rgb="FF1F3864"/>
      <rgbColor rgb="FFEFEBF8"/>
      <rgbColor rgb="FF003300"/>
      <rgbColor rgb="FF333300"/>
      <rgbColor rgb="FF854F0B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4" min="14" style="0" width="24"/>
    <col collapsed="false" customWidth="true" hidden="false" outlineLevel="0" max="15" min="15" style="0" width="11"/>
    <col collapsed="false" customWidth="true" hidden="false" outlineLevel="0" max="16" min="16" style="0" width="34"/>
  </cols>
  <sheetData>
    <row r="1" customFormat="false" ht="17.35" hidden="false" customHeight="fals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9.5" hidden="false" customHeight="true" outlineLevel="0" collapsed="false">
      <c r="A5" s="4" t="s">
        <v>18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15" hidden="false" customHeight="false" outlineLevel="0" collapsed="false">
      <c r="A6" s="5" t="s">
        <v>19</v>
      </c>
      <c r="B6" s="6" t="s">
        <v>20</v>
      </c>
      <c r="C6" s="5" t="s">
        <v>21</v>
      </c>
      <c r="D6" s="6" t="s">
        <v>22</v>
      </c>
      <c r="E6" s="7" t="s">
        <v>23</v>
      </c>
      <c r="F6" s="7" t="s">
        <v>24</v>
      </c>
      <c r="G6" s="7" t="s">
        <v>24</v>
      </c>
      <c r="H6" s="7" t="s">
        <v>24</v>
      </c>
      <c r="I6" s="7" t="s">
        <v>24</v>
      </c>
      <c r="J6" s="7" t="s">
        <v>25</v>
      </c>
      <c r="K6" s="7" t="s">
        <v>25</v>
      </c>
      <c r="L6" s="7" t="s">
        <v>25</v>
      </c>
      <c r="M6" s="7" t="s">
        <v>26</v>
      </c>
      <c r="N6" s="6" t="s">
        <v>27</v>
      </c>
      <c r="O6" s="8" t="s">
        <v>28</v>
      </c>
      <c r="P6" s="6" t="s">
        <v>29</v>
      </c>
    </row>
    <row r="7" customFormat="false" ht="23.85" hidden="false" customHeight="false" outlineLevel="0" collapsed="false">
      <c r="A7" s="5" t="s">
        <v>30</v>
      </c>
      <c r="B7" s="6" t="s">
        <v>20</v>
      </c>
      <c r="C7" s="5" t="s">
        <v>31</v>
      </c>
      <c r="D7" s="6" t="s">
        <v>32</v>
      </c>
      <c r="E7" s="7" t="s">
        <v>23</v>
      </c>
      <c r="F7" s="7" t="s">
        <v>24</v>
      </c>
      <c r="G7" s="7" t="s">
        <v>24</v>
      </c>
      <c r="H7" s="7" t="s">
        <v>24</v>
      </c>
      <c r="I7" s="7" t="s">
        <v>24</v>
      </c>
      <c r="J7" s="7" t="s">
        <v>25</v>
      </c>
      <c r="K7" s="7" t="s">
        <v>25</v>
      </c>
      <c r="L7" s="7" t="s">
        <v>25</v>
      </c>
      <c r="M7" s="7" t="s">
        <v>26</v>
      </c>
      <c r="N7" s="6" t="s">
        <v>27</v>
      </c>
      <c r="O7" s="8" t="s">
        <v>28</v>
      </c>
      <c r="P7" s="6" t="s">
        <v>33</v>
      </c>
    </row>
    <row r="8" customFormat="false" ht="15" hidden="false" customHeight="false" outlineLevel="0" collapsed="false">
      <c r="A8" s="5" t="s">
        <v>34</v>
      </c>
      <c r="B8" s="6" t="s">
        <v>20</v>
      </c>
      <c r="C8" s="5" t="s">
        <v>35</v>
      </c>
      <c r="D8" s="6" t="s">
        <v>36</v>
      </c>
      <c r="E8" s="7" t="s">
        <v>23</v>
      </c>
      <c r="F8" s="7" t="s">
        <v>24</v>
      </c>
      <c r="G8" s="7" t="s">
        <v>24</v>
      </c>
      <c r="H8" s="7" t="s">
        <v>24</v>
      </c>
      <c r="I8" s="7" t="s">
        <v>24</v>
      </c>
      <c r="J8" s="7" t="s">
        <v>25</v>
      </c>
      <c r="K8" s="7" t="s">
        <v>25</v>
      </c>
      <c r="L8" s="7" t="s">
        <v>25</v>
      </c>
      <c r="M8" s="7" t="s">
        <v>26</v>
      </c>
      <c r="N8" s="6" t="s">
        <v>37</v>
      </c>
      <c r="O8" s="8" t="s">
        <v>28</v>
      </c>
      <c r="P8" s="6" t="s">
        <v>38</v>
      </c>
    </row>
    <row r="9" customFormat="false" ht="23.85" hidden="false" customHeight="false" outlineLevel="0" collapsed="false">
      <c r="A9" s="5" t="s">
        <v>39</v>
      </c>
      <c r="B9" s="6" t="s">
        <v>20</v>
      </c>
      <c r="C9" s="5" t="s">
        <v>40</v>
      </c>
      <c r="D9" s="6" t="s">
        <v>41</v>
      </c>
      <c r="E9" s="7" t="s">
        <v>23</v>
      </c>
      <c r="F9" s="7" t="s">
        <v>24</v>
      </c>
      <c r="G9" s="7" t="s">
        <v>24</v>
      </c>
      <c r="H9" s="7" t="s">
        <v>24</v>
      </c>
      <c r="I9" s="7" t="s">
        <v>24</v>
      </c>
      <c r="J9" s="7" t="s">
        <v>26</v>
      </c>
      <c r="K9" s="7" t="s">
        <v>25</v>
      </c>
      <c r="L9" s="7" t="s">
        <v>25</v>
      </c>
      <c r="M9" s="7" t="s">
        <v>25</v>
      </c>
      <c r="N9" s="6" t="s">
        <v>27</v>
      </c>
      <c r="O9" s="8" t="s">
        <v>28</v>
      </c>
      <c r="P9" s="6" t="s">
        <v>42</v>
      </c>
    </row>
    <row r="10" customFormat="false" ht="15" hidden="false" customHeight="false" outlineLevel="0" collapsed="false">
      <c r="A10" s="5" t="s">
        <v>43</v>
      </c>
      <c r="B10" s="6" t="s">
        <v>20</v>
      </c>
      <c r="C10" s="5" t="s">
        <v>44</v>
      </c>
      <c r="D10" s="6" t="s">
        <v>45</v>
      </c>
      <c r="E10" s="7" t="s">
        <v>23</v>
      </c>
      <c r="F10" s="7" t="s">
        <v>24</v>
      </c>
      <c r="G10" s="7" t="s">
        <v>24</v>
      </c>
      <c r="H10" s="7" t="s">
        <v>24</v>
      </c>
      <c r="I10" s="7" t="s">
        <v>24</v>
      </c>
      <c r="J10" s="7" t="s">
        <v>25</v>
      </c>
      <c r="K10" s="7" t="s">
        <v>25</v>
      </c>
      <c r="L10" s="7" t="s">
        <v>25</v>
      </c>
      <c r="M10" s="7" t="s">
        <v>25</v>
      </c>
      <c r="N10" s="6" t="s">
        <v>27</v>
      </c>
      <c r="O10" s="9" t="s">
        <v>46</v>
      </c>
      <c r="P10" s="6" t="s">
        <v>47</v>
      </c>
    </row>
    <row r="11" customFormat="false" ht="19.5" hidden="false" customHeight="true" outlineLevel="0" collapsed="false">
      <c r="A11" s="10" t="s">
        <v>48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customFormat="false" ht="23.85" hidden="false" customHeight="false" outlineLevel="0" collapsed="false">
      <c r="A12" s="11" t="s">
        <v>49</v>
      </c>
      <c r="B12" s="12" t="s">
        <v>50</v>
      </c>
      <c r="C12" s="11" t="s">
        <v>51</v>
      </c>
      <c r="D12" s="12" t="s">
        <v>52</v>
      </c>
      <c r="E12" s="13" t="s">
        <v>53</v>
      </c>
      <c r="F12" s="13" t="s">
        <v>24</v>
      </c>
      <c r="G12" s="13" t="s">
        <v>27</v>
      </c>
      <c r="H12" s="13" t="s">
        <v>27</v>
      </c>
      <c r="I12" s="13" t="s">
        <v>27</v>
      </c>
      <c r="J12" s="13" t="s">
        <v>26</v>
      </c>
      <c r="K12" s="13" t="s">
        <v>25</v>
      </c>
      <c r="L12" s="13" t="s">
        <v>25</v>
      </c>
      <c r="M12" s="13" t="s">
        <v>25</v>
      </c>
      <c r="N12" s="12" t="s">
        <v>27</v>
      </c>
      <c r="O12" s="14" t="s">
        <v>28</v>
      </c>
      <c r="P12" s="12" t="s">
        <v>54</v>
      </c>
    </row>
    <row r="13" customFormat="false" ht="15" hidden="false" customHeight="false" outlineLevel="0" collapsed="false">
      <c r="A13" s="11" t="s">
        <v>55</v>
      </c>
      <c r="B13" s="12" t="s">
        <v>50</v>
      </c>
      <c r="C13" s="11" t="s">
        <v>56</v>
      </c>
      <c r="D13" s="12" t="s">
        <v>57</v>
      </c>
      <c r="E13" s="13" t="s">
        <v>53</v>
      </c>
      <c r="F13" s="13" t="s">
        <v>27</v>
      </c>
      <c r="G13" s="13" t="s">
        <v>58</v>
      </c>
      <c r="H13" s="13" t="s">
        <v>27</v>
      </c>
      <c r="I13" s="13" t="s">
        <v>27</v>
      </c>
      <c r="J13" s="13" t="s">
        <v>26</v>
      </c>
      <c r="K13" s="13" t="s">
        <v>25</v>
      </c>
      <c r="L13" s="13" t="s">
        <v>25</v>
      </c>
      <c r="M13" s="13" t="s">
        <v>25</v>
      </c>
      <c r="N13" s="12" t="s">
        <v>27</v>
      </c>
      <c r="O13" s="14" t="s">
        <v>28</v>
      </c>
      <c r="P13" s="12" t="s">
        <v>59</v>
      </c>
    </row>
    <row r="14" customFormat="false" ht="23.85" hidden="false" customHeight="false" outlineLevel="0" collapsed="false">
      <c r="A14" s="11" t="s">
        <v>60</v>
      </c>
      <c r="B14" s="12" t="s">
        <v>50</v>
      </c>
      <c r="C14" s="11" t="s">
        <v>61</v>
      </c>
      <c r="D14" s="12" t="s">
        <v>62</v>
      </c>
      <c r="E14" s="13" t="s">
        <v>53</v>
      </c>
      <c r="F14" s="13" t="s">
        <v>27</v>
      </c>
      <c r="G14" s="13" t="s">
        <v>27</v>
      </c>
      <c r="H14" s="13" t="s">
        <v>63</v>
      </c>
      <c r="I14" s="13" t="s">
        <v>27</v>
      </c>
      <c r="J14" s="13" t="s">
        <v>25</v>
      </c>
      <c r="K14" s="13" t="s">
        <v>25</v>
      </c>
      <c r="L14" s="13" t="s">
        <v>25</v>
      </c>
      <c r="M14" s="13" t="s">
        <v>25</v>
      </c>
      <c r="N14" s="12" t="s">
        <v>27</v>
      </c>
      <c r="O14" s="14" t="s">
        <v>28</v>
      </c>
      <c r="P14" s="12" t="s">
        <v>64</v>
      </c>
    </row>
    <row r="15" customFormat="false" ht="15" hidden="false" customHeight="false" outlineLevel="0" collapsed="false">
      <c r="A15" s="11" t="s">
        <v>65</v>
      </c>
      <c r="B15" s="12" t="s">
        <v>50</v>
      </c>
      <c r="C15" s="11" t="s">
        <v>66</v>
      </c>
      <c r="D15" s="12" t="s">
        <v>67</v>
      </c>
      <c r="E15" s="13" t="s">
        <v>53</v>
      </c>
      <c r="F15" s="13" t="s">
        <v>24</v>
      </c>
      <c r="G15" s="13" t="s">
        <v>58</v>
      </c>
      <c r="H15" s="13" t="s">
        <v>27</v>
      </c>
      <c r="I15" s="13" t="s">
        <v>27</v>
      </c>
      <c r="J15" s="13" t="s">
        <v>26</v>
      </c>
      <c r="K15" s="13" t="s">
        <v>25</v>
      </c>
      <c r="L15" s="13" t="s">
        <v>25</v>
      </c>
      <c r="M15" s="13" t="s">
        <v>25</v>
      </c>
      <c r="N15" s="12" t="s">
        <v>27</v>
      </c>
      <c r="O15" s="14" t="s">
        <v>28</v>
      </c>
      <c r="P15" s="12" t="s">
        <v>68</v>
      </c>
    </row>
    <row r="16" customFormat="false" ht="19.5" hidden="false" customHeight="true" outlineLevel="0" collapsed="false">
      <c r="A16" s="15" t="s">
        <v>69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15" hidden="false" customHeight="false" outlineLevel="0" collapsed="false">
      <c r="A17" s="16" t="s">
        <v>70</v>
      </c>
      <c r="B17" s="17" t="s">
        <v>71</v>
      </c>
      <c r="C17" s="16" t="s">
        <v>72</v>
      </c>
      <c r="D17" s="17" t="s">
        <v>73</v>
      </c>
      <c r="E17" s="18" t="s">
        <v>53</v>
      </c>
      <c r="F17" s="18" t="s">
        <v>24</v>
      </c>
      <c r="G17" s="18" t="s">
        <v>58</v>
      </c>
      <c r="H17" s="18" t="s">
        <v>63</v>
      </c>
      <c r="I17" s="18" t="s">
        <v>63</v>
      </c>
      <c r="J17" s="18" t="s">
        <v>26</v>
      </c>
      <c r="K17" s="18" t="s">
        <v>25</v>
      </c>
      <c r="L17" s="18" t="s">
        <v>25</v>
      </c>
      <c r="M17" s="18" t="s">
        <v>25</v>
      </c>
      <c r="N17" s="17" t="s">
        <v>27</v>
      </c>
      <c r="O17" s="19" t="s">
        <v>28</v>
      </c>
      <c r="P17" s="17" t="s">
        <v>74</v>
      </c>
    </row>
    <row r="18" customFormat="false" ht="23.85" hidden="false" customHeight="false" outlineLevel="0" collapsed="false">
      <c r="A18" s="16" t="s">
        <v>75</v>
      </c>
      <c r="B18" s="17" t="s">
        <v>71</v>
      </c>
      <c r="C18" s="16" t="s">
        <v>76</v>
      </c>
      <c r="D18" s="17" t="s">
        <v>77</v>
      </c>
      <c r="E18" s="18" t="s">
        <v>78</v>
      </c>
      <c r="F18" s="18" t="s">
        <v>27</v>
      </c>
      <c r="G18" s="18" t="s">
        <v>58</v>
      </c>
      <c r="H18" s="18" t="s">
        <v>63</v>
      </c>
      <c r="I18" s="18" t="s">
        <v>63</v>
      </c>
      <c r="J18" s="18" t="s">
        <v>26</v>
      </c>
      <c r="K18" s="18" t="s">
        <v>25</v>
      </c>
      <c r="L18" s="18" t="s">
        <v>25</v>
      </c>
      <c r="M18" s="18" t="s">
        <v>26</v>
      </c>
      <c r="N18" s="17" t="s">
        <v>27</v>
      </c>
      <c r="O18" s="20" t="s">
        <v>79</v>
      </c>
      <c r="P18" s="17" t="s">
        <v>80</v>
      </c>
    </row>
    <row r="19" customFormat="false" ht="15" hidden="false" customHeight="false" outlineLevel="0" collapsed="false">
      <c r="A19" s="16" t="s">
        <v>81</v>
      </c>
      <c r="B19" s="17" t="s">
        <v>71</v>
      </c>
      <c r="C19" s="16" t="s">
        <v>82</v>
      </c>
      <c r="D19" s="17" t="s">
        <v>83</v>
      </c>
      <c r="E19" s="18" t="s">
        <v>78</v>
      </c>
      <c r="F19" s="18" t="s">
        <v>27</v>
      </c>
      <c r="G19" s="18" t="s">
        <v>58</v>
      </c>
      <c r="H19" s="18" t="s">
        <v>63</v>
      </c>
      <c r="I19" s="18" t="s">
        <v>63</v>
      </c>
      <c r="J19" s="18" t="s">
        <v>26</v>
      </c>
      <c r="K19" s="18" t="s">
        <v>25</v>
      </c>
      <c r="L19" s="18" t="s">
        <v>25</v>
      </c>
      <c r="M19" s="18" t="s">
        <v>26</v>
      </c>
      <c r="N19" s="17" t="s">
        <v>27</v>
      </c>
      <c r="O19" s="20" t="s">
        <v>79</v>
      </c>
      <c r="P19" s="17" t="s">
        <v>84</v>
      </c>
    </row>
    <row r="20" customFormat="false" ht="15" hidden="false" customHeight="false" outlineLevel="0" collapsed="false">
      <c r="A20" s="16" t="s">
        <v>85</v>
      </c>
      <c r="B20" s="17" t="s">
        <v>71</v>
      </c>
      <c r="C20" s="16" t="s">
        <v>86</v>
      </c>
      <c r="D20" s="17" t="s">
        <v>87</v>
      </c>
      <c r="E20" s="18" t="s">
        <v>78</v>
      </c>
      <c r="F20" s="18" t="s">
        <v>24</v>
      </c>
      <c r="G20" s="18" t="s">
        <v>58</v>
      </c>
      <c r="H20" s="18" t="s">
        <v>63</v>
      </c>
      <c r="I20" s="18" t="s">
        <v>63</v>
      </c>
      <c r="J20" s="18" t="s">
        <v>26</v>
      </c>
      <c r="K20" s="18" t="s">
        <v>25</v>
      </c>
      <c r="L20" s="18" t="s">
        <v>25</v>
      </c>
      <c r="M20" s="18" t="s">
        <v>26</v>
      </c>
      <c r="N20" s="17" t="s">
        <v>27</v>
      </c>
      <c r="O20" s="19" t="s">
        <v>28</v>
      </c>
      <c r="P20" s="17" t="s">
        <v>88</v>
      </c>
    </row>
    <row r="21" customFormat="false" ht="15" hidden="false" customHeight="false" outlineLevel="0" collapsed="false">
      <c r="A21" s="16" t="s">
        <v>89</v>
      </c>
      <c r="B21" s="17" t="s">
        <v>71</v>
      </c>
      <c r="C21" s="16" t="s">
        <v>90</v>
      </c>
      <c r="D21" s="17" t="s">
        <v>91</v>
      </c>
      <c r="E21" s="18" t="s">
        <v>78</v>
      </c>
      <c r="F21" s="18" t="s">
        <v>27</v>
      </c>
      <c r="G21" s="18" t="s">
        <v>27</v>
      </c>
      <c r="H21" s="18" t="s">
        <v>63</v>
      </c>
      <c r="I21" s="18" t="s">
        <v>63</v>
      </c>
      <c r="J21" s="18" t="s">
        <v>26</v>
      </c>
      <c r="K21" s="18" t="s">
        <v>25</v>
      </c>
      <c r="L21" s="18" t="s">
        <v>25</v>
      </c>
      <c r="M21" s="18" t="s">
        <v>26</v>
      </c>
      <c r="N21" s="17" t="s">
        <v>27</v>
      </c>
      <c r="O21" s="19" t="s">
        <v>28</v>
      </c>
      <c r="P21" s="17" t="s">
        <v>92</v>
      </c>
    </row>
    <row r="22" customFormat="false" ht="23.85" hidden="false" customHeight="false" outlineLevel="0" collapsed="false">
      <c r="A22" s="16" t="s">
        <v>93</v>
      </c>
      <c r="B22" s="17" t="s">
        <v>71</v>
      </c>
      <c r="C22" s="16" t="s">
        <v>94</v>
      </c>
      <c r="D22" s="17" t="s">
        <v>95</v>
      </c>
      <c r="E22" s="18" t="s">
        <v>78</v>
      </c>
      <c r="F22" s="18" t="s">
        <v>24</v>
      </c>
      <c r="G22" s="18" t="s">
        <v>27</v>
      </c>
      <c r="H22" s="18" t="s">
        <v>27</v>
      </c>
      <c r="I22" s="18" t="s">
        <v>27</v>
      </c>
      <c r="J22" s="18" t="s">
        <v>26</v>
      </c>
      <c r="K22" s="18" t="s">
        <v>25</v>
      </c>
      <c r="L22" s="18" t="s">
        <v>25</v>
      </c>
      <c r="M22" s="18" t="s">
        <v>26</v>
      </c>
      <c r="N22" s="17" t="s">
        <v>96</v>
      </c>
      <c r="O22" s="19" t="s">
        <v>28</v>
      </c>
      <c r="P22" s="17" t="s">
        <v>97</v>
      </c>
    </row>
    <row r="23" customFormat="false" ht="23.85" hidden="false" customHeight="false" outlineLevel="0" collapsed="false">
      <c r="A23" s="16" t="s">
        <v>98</v>
      </c>
      <c r="B23" s="17" t="s">
        <v>71</v>
      </c>
      <c r="C23" s="16" t="s">
        <v>99</v>
      </c>
      <c r="D23" s="17" t="s">
        <v>100</v>
      </c>
      <c r="E23" s="18" t="s">
        <v>78</v>
      </c>
      <c r="F23" s="18" t="s">
        <v>24</v>
      </c>
      <c r="G23" s="18" t="s">
        <v>27</v>
      </c>
      <c r="H23" s="18" t="s">
        <v>27</v>
      </c>
      <c r="I23" s="18" t="s">
        <v>27</v>
      </c>
      <c r="J23" s="18" t="s">
        <v>26</v>
      </c>
      <c r="K23" s="18" t="s">
        <v>25</v>
      </c>
      <c r="L23" s="18" t="s">
        <v>25</v>
      </c>
      <c r="M23" s="18" t="s">
        <v>26</v>
      </c>
      <c r="N23" s="17" t="s">
        <v>101</v>
      </c>
      <c r="O23" s="19" t="s">
        <v>28</v>
      </c>
      <c r="P23" s="17" t="s">
        <v>102</v>
      </c>
    </row>
    <row r="24" customFormat="false" ht="15" hidden="false" customHeight="false" outlineLevel="0" collapsed="false">
      <c r="A24" s="16" t="s">
        <v>103</v>
      </c>
      <c r="B24" s="17" t="s">
        <v>71</v>
      </c>
      <c r="C24" s="16" t="s">
        <v>104</v>
      </c>
      <c r="D24" s="17" t="s">
        <v>105</v>
      </c>
      <c r="E24" s="18" t="s">
        <v>78</v>
      </c>
      <c r="F24" s="18" t="s">
        <v>24</v>
      </c>
      <c r="G24" s="18" t="s">
        <v>27</v>
      </c>
      <c r="H24" s="18" t="s">
        <v>27</v>
      </c>
      <c r="I24" s="18" t="s">
        <v>27</v>
      </c>
      <c r="J24" s="18" t="s">
        <v>25</v>
      </c>
      <c r="K24" s="18" t="s">
        <v>25</v>
      </c>
      <c r="L24" s="18" t="s">
        <v>25</v>
      </c>
      <c r="M24" s="18" t="s">
        <v>26</v>
      </c>
      <c r="N24" s="17" t="s">
        <v>27</v>
      </c>
      <c r="O24" s="19" t="s">
        <v>28</v>
      </c>
      <c r="P24" s="17" t="s">
        <v>106</v>
      </c>
    </row>
    <row r="25" customFormat="false" ht="15" hidden="false" customHeight="false" outlineLevel="0" collapsed="false">
      <c r="A25" s="16" t="s">
        <v>107</v>
      </c>
      <c r="B25" s="17" t="s">
        <v>71</v>
      </c>
      <c r="C25" s="16" t="s">
        <v>108</v>
      </c>
      <c r="D25" s="17" t="s">
        <v>109</v>
      </c>
      <c r="E25" s="18" t="s">
        <v>78</v>
      </c>
      <c r="F25" s="18" t="s">
        <v>24</v>
      </c>
      <c r="G25" s="18" t="s">
        <v>27</v>
      </c>
      <c r="H25" s="18" t="s">
        <v>27</v>
      </c>
      <c r="I25" s="18" t="s">
        <v>27</v>
      </c>
      <c r="J25" s="18" t="s">
        <v>25</v>
      </c>
      <c r="K25" s="18" t="s">
        <v>25</v>
      </c>
      <c r="L25" s="18" t="s">
        <v>25</v>
      </c>
      <c r="M25" s="18" t="s">
        <v>26</v>
      </c>
      <c r="N25" s="17" t="s">
        <v>110</v>
      </c>
      <c r="O25" s="19" t="s">
        <v>28</v>
      </c>
      <c r="P25" s="17" t="s">
        <v>111</v>
      </c>
    </row>
    <row r="26" customFormat="false" ht="15" hidden="false" customHeight="false" outlineLevel="0" collapsed="false">
      <c r="A26" s="16" t="s">
        <v>112</v>
      </c>
      <c r="B26" s="17" t="s">
        <v>71</v>
      </c>
      <c r="C26" s="16" t="s">
        <v>113</v>
      </c>
      <c r="D26" s="17" t="s">
        <v>114</v>
      </c>
      <c r="E26" s="18" t="s">
        <v>78</v>
      </c>
      <c r="F26" s="18" t="s">
        <v>24</v>
      </c>
      <c r="G26" s="18" t="s">
        <v>27</v>
      </c>
      <c r="H26" s="18" t="s">
        <v>27</v>
      </c>
      <c r="I26" s="18" t="s">
        <v>27</v>
      </c>
      <c r="J26" s="18" t="s">
        <v>25</v>
      </c>
      <c r="K26" s="18" t="s">
        <v>25</v>
      </c>
      <c r="L26" s="18" t="s">
        <v>25</v>
      </c>
      <c r="M26" s="18" t="s">
        <v>26</v>
      </c>
      <c r="N26" s="17" t="s">
        <v>27</v>
      </c>
      <c r="O26" s="19" t="s">
        <v>28</v>
      </c>
      <c r="P26" s="17" t="s">
        <v>97</v>
      </c>
    </row>
    <row r="27" customFormat="false" ht="15" hidden="false" customHeight="false" outlineLevel="0" collapsed="false">
      <c r="A27" s="16" t="s">
        <v>115</v>
      </c>
      <c r="B27" s="17" t="s">
        <v>71</v>
      </c>
      <c r="C27" s="16" t="s">
        <v>116</v>
      </c>
      <c r="D27" s="17" t="s">
        <v>117</v>
      </c>
      <c r="E27" s="18" t="s">
        <v>78</v>
      </c>
      <c r="F27" s="18" t="s">
        <v>24</v>
      </c>
      <c r="G27" s="18" t="s">
        <v>27</v>
      </c>
      <c r="H27" s="18" t="s">
        <v>27</v>
      </c>
      <c r="I27" s="18" t="s">
        <v>27</v>
      </c>
      <c r="J27" s="18" t="s">
        <v>26</v>
      </c>
      <c r="K27" s="18" t="s">
        <v>25</v>
      </c>
      <c r="L27" s="18" t="s">
        <v>25</v>
      </c>
      <c r="M27" s="18" t="s">
        <v>26</v>
      </c>
      <c r="N27" s="17" t="s">
        <v>27</v>
      </c>
      <c r="O27" s="19" t="s">
        <v>28</v>
      </c>
      <c r="P27" s="17" t="s">
        <v>88</v>
      </c>
    </row>
    <row r="28" customFormat="false" ht="15" hidden="false" customHeight="false" outlineLevel="0" collapsed="false">
      <c r="A28" s="16" t="s">
        <v>118</v>
      </c>
      <c r="B28" s="17" t="s">
        <v>71</v>
      </c>
      <c r="C28" s="16" t="s">
        <v>119</v>
      </c>
      <c r="D28" s="17" t="s">
        <v>120</v>
      </c>
      <c r="E28" s="18" t="s">
        <v>78</v>
      </c>
      <c r="F28" s="18" t="s">
        <v>24</v>
      </c>
      <c r="G28" s="18" t="s">
        <v>27</v>
      </c>
      <c r="H28" s="18" t="s">
        <v>27</v>
      </c>
      <c r="I28" s="18" t="s">
        <v>27</v>
      </c>
      <c r="J28" s="18" t="s">
        <v>26</v>
      </c>
      <c r="K28" s="18" t="s">
        <v>25</v>
      </c>
      <c r="L28" s="18" t="s">
        <v>25</v>
      </c>
      <c r="M28" s="18" t="s">
        <v>26</v>
      </c>
      <c r="N28" s="17" t="s">
        <v>27</v>
      </c>
      <c r="O28" s="19" t="s">
        <v>28</v>
      </c>
      <c r="P28" s="17" t="s">
        <v>121</v>
      </c>
    </row>
    <row r="29" customFormat="false" ht="15" hidden="false" customHeight="false" outlineLevel="0" collapsed="false">
      <c r="A29" s="16" t="s">
        <v>122</v>
      </c>
      <c r="B29" s="17" t="s">
        <v>71</v>
      </c>
      <c r="C29" s="16" t="s">
        <v>123</v>
      </c>
      <c r="D29" s="17" t="s">
        <v>124</v>
      </c>
      <c r="E29" s="18" t="s">
        <v>78</v>
      </c>
      <c r="F29" s="18" t="s">
        <v>24</v>
      </c>
      <c r="G29" s="18" t="s">
        <v>27</v>
      </c>
      <c r="H29" s="18" t="s">
        <v>27</v>
      </c>
      <c r="I29" s="18" t="s">
        <v>27</v>
      </c>
      <c r="J29" s="18" t="s">
        <v>26</v>
      </c>
      <c r="K29" s="18" t="s">
        <v>25</v>
      </c>
      <c r="L29" s="18" t="s">
        <v>25</v>
      </c>
      <c r="M29" s="18" t="s">
        <v>26</v>
      </c>
      <c r="N29" s="17" t="s">
        <v>27</v>
      </c>
      <c r="O29" s="19" t="s">
        <v>28</v>
      </c>
      <c r="P29" s="17" t="s">
        <v>125</v>
      </c>
    </row>
    <row r="30" customFormat="false" ht="15" hidden="false" customHeight="false" outlineLevel="0" collapsed="false">
      <c r="A30" s="16" t="s">
        <v>126</v>
      </c>
      <c r="B30" s="17" t="s">
        <v>71</v>
      </c>
      <c r="C30" s="16" t="s">
        <v>127</v>
      </c>
      <c r="D30" s="17" t="s">
        <v>128</v>
      </c>
      <c r="E30" s="18" t="s">
        <v>78</v>
      </c>
      <c r="F30" s="18" t="s">
        <v>24</v>
      </c>
      <c r="G30" s="18" t="s">
        <v>58</v>
      </c>
      <c r="H30" s="18" t="s">
        <v>27</v>
      </c>
      <c r="I30" s="18" t="s">
        <v>27</v>
      </c>
      <c r="J30" s="18" t="s">
        <v>26</v>
      </c>
      <c r="K30" s="18" t="s">
        <v>25</v>
      </c>
      <c r="L30" s="18" t="s">
        <v>25</v>
      </c>
      <c r="M30" s="18" t="s">
        <v>26</v>
      </c>
      <c r="N30" s="17" t="s">
        <v>27</v>
      </c>
      <c r="O30" s="19" t="s">
        <v>28</v>
      </c>
      <c r="P30" s="17" t="s">
        <v>129</v>
      </c>
    </row>
    <row r="31" customFormat="false" ht="15" hidden="false" customHeight="false" outlineLevel="0" collapsed="false">
      <c r="A31" s="16" t="s">
        <v>130</v>
      </c>
      <c r="B31" s="17" t="s">
        <v>71</v>
      </c>
      <c r="C31" s="16" t="s">
        <v>131</v>
      </c>
      <c r="D31" s="17" t="s">
        <v>132</v>
      </c>
      <c r="E31" s="18" t="s">
        <v>78</v>
      </c>
      <c r="F31" s="18" t="s">
        <v>24</v>
      </c>
      <c r="G31" s="18" t="s">
        <v>27</v>
      </c>
      <c r="H31" s="18" t="s">
        <v>27</v>
      </c>
      <c r="I31" s="18" t="s">
        <v>27</v>
      </c>
      <c r="J31" s="18" t="s">
        <v>26</v>
      </c>
      <c r="K31" s="18" t="s">
        <v>25</v>
      </c>
      <c r="L31" s="18" t="s">
        <v>25</v>
      </c>
      <c r="M31" s="18" t="s">
        <v>26</v>
      </c>
      <c r="N31" s="17" t="s">
        <v>27</v>
      </c>
      <c r="O31" s="19" t="s">
        <v>28</v>
      </c>
      <c r="P31" s="17" t="s">
        <v>68</v>
      </c>
    </row>
    <row r="32" customFormat="false" ht="15" hidden="false" customHeight="false" outlineLevel="0" collapsed="false">
      <c r="A32" s="16" t="s">
        <v>133</v>
      </c>
      <c r="B32" s="17" t="s">
        <v>71</v>
      </c>
      <c r="C32" s="16" t="s">
        <v>134</v>
      </c>
      <c r="D32" s="17" t="s">
        <v>135</v>
      </c>
      <c r="E32" s="18" t="s">
        <v>78</v>
      </c>
      <c r="F32" s="18" t="s">
        <v>24</v>
      </c>
      <c r="G32" s="18" t="s">
        <v>27</v>
      </c>
      <c r="H32" s="18" t="s">
        <v>27</v>
      </c>
      <c r="I32" s="18" t="s">
        <v>27</v>
      </c>
      <c r="J32" s="18" t="s">
        <v>26</v>
      </c>
      <c r="K32" s="18" t="s">
        <v>25</v>
      </c>
      <c r="L32" s="18" t="s">
        <v>25</v>
      </c>
      <c r="M32" s="18" t="s">
        <v>26</v>
      </c>
      <c r="N32" s="17" t="s">
        <v>27</v>
      </c>
      <c r="O32" s="19" t="s">
        <v>28</v>
      </c>
      <c r="P32" s="17" t="s">
        <v>68</v>
      </c>
    </row>
    <row r="33" customFormat="false" ht="15" hidden="false" customHeight="false" outlineLevel="0" collapsed="false">
      <c r="A33" s="16" t="s">
        <v>136</v>
      </c>
      <c r="B33" s="17" t="s">
        <v>71</v>
      </c>
      <c r="C33" s="16" t="s">
        <v>137</v>
      </c>
      <c r="D33" s="17" t="s">
        <v>138</v>
      </c>
      <c r="E33" s="18" t="s">
        <v>53</v>
      </c>
      <c r="F33" s="18" t="s">
        <v>24</v>
      </c>
      <c r="G33" s="18" t="s">
        <v>58</v>
      </c>
      <c r="H33" s="18" t="s">
        <v>27</v>
      </c>
      <c r="I33" s="18" t="s">
        <v>27</v>
      </c>
      <c r="J33" s="18" t="s">
        <v>26</v>
      </c>
      <c r="K33" s="18" t="s">
        <v>25</v>
      </c>
      <c r="L33" s="18" t="s">
        <v>25</v>
      </c>
      <c r="M33" s="18" t="s">
        <v>25</v>
      </c>
      <c r="N33" s="17" t="s">
        <v>27</v>
      </c>
      <c r="O33" s="19" t="s">
        <v>28</v>
      </c>
      <c r="P33" s="17" t="s">
        <v>139</v>
      </c>
    </row>
    <row r="34" customFormat="false" ht="15" hidden="false" customHeight="false" outlineLevel="0" collapsed="false">
      <c r="A34" s="16" t="s">
        <v>140</v>
      </c>
      <c r="B34" s="17" t="s">
        <v>71</v>
      </c>
      <c r="C34" s="16" t="s">
        <v>141</v>
      </c>
      <c r="D34" s="17" t="s">
        <v>142</v>
      </c>
      <c r="E34" s="18" t="s">
        <v>53</v>
      </c>
      <c r="F34" s="18" t="s">
        <v>24</v>
      </c>
      <c r="G34" s="18" t="s">
        <v>58</v>
      </c>
      <c r="H34" s="18" t="s">
        <v>27</v>
      </c>
      <c r="I34" s="18" t="s">
        <v>27</v>
      </c>
      <c r="J34" s="18" t="s">
        <v>26</v>
      </c>
      <c r="K34" s="18" t="s">
        <v>25</v>
      </c>
      <c r="L34" s="18" t="s">
        <v>25</v>
      </c>
      <c r="M34" s="18" t="s">
        <v>26</v>
      </c>
      <c r="N34" s="17" t="s">
        <v>27</v>
      </c>
      <c r="O34" s="19" t="s">
        <v>28</v>
      </c>
      <c r="P34" s="17" t="s">
        <v>97</v>
      </c>
    </row>
    <row r="35" customFormat="false" ht="15" hidden="false" customHeight="false" outlineLevel="0" collapsed="false">
      <c r="A35" s="16" t="s">
        <v>143</v>
      </c>
      <c r="B35" s="17" t="s">
        <v>71</v>
      </c>
      <c r="C35" s="16" t="s">
        <v>144</v>
      </c>
      <c r="D35" s="17" t="s">
        <v>145</v>
      </c>
      <c r="E35" s="18" t="s">
        <v>78</v>
      </c>
      <c r="F35" s="18" t="s">
        <v>27</v>
      </c>
      <c r="G35" s="18" t="s">
        <v>27</v>
      </c>
      <c r="H35" s="18" t="s">
        <v>27</v>
      </c>
      <c r="I35" s="18" t="s">
        <v>27</v>
      </c>
      <c r="J35" s="18" t="s">
        <v>26</v>
      </c>
      <c r="K35" s="18" t="s">
        <v>25</v>
      </c>
      <c r="L35" s="18" t="s">
        <v>46</v>
      </c>
      <c r="M35" s="18" t="s">
        <v>26</v>
      </c>
      <c r="N35" s="17" t="s">
        <v>27</v>
      </c>
      <c r="O35" s="21" t="s">
        <v>46</v>
      </c>
      <c r="P35" s="17" t="s">
        <v>47</v>
      </c>
    </row>
    <row r="36" customFormat="false" ht="15" hidden="false" customHeight="false" outlineLevel="0" collapsed="false">
      <c r="A36" s="16" t="s">
        <v>146</v>
      </c>
      <c r="B36" s="17" t="s">
        <v>71</v>
      </c>
      <c r="C36" s="16" t="s">
        <v>147</v>
      </c>
      <c r="D36" s="17" t="s">
        <v>148</v>
      </c>
      <c r="E36" s="18" t="s">
        <v>53</v>
      </c>
      <c r="F36" s="18" t="s">
        <v>27</v>
      </c>
      <c r="G36" s="18" t="s">
        <v>27</v>
      </c>
      <c r="H36" s="18" t="s">
        <v>27</v>
      </c>
      <c r="I36" s="18" t="s">
        <v>27</v>
      </c>
      <c r="J36" s="18" t="s">
        <v>26</v>
      </c>
      <c r="K36" s="18" t="s">
        <v>25</v>
      </c>
      <c r="L36" s="18" t="s">
        <v>25</v>
      </c>
      <c r="M36" s="18" t="s">
        <v>26</v>
      </c>
      <c r="N36" s="17" t="s">
        <v>27</v>
      </c>
      <c r="O36" s="21" t="s">
        <v>46</v>
      </c>
      <c r="P36" s="17" t="s">
        <v>47</v>
      </c>
    </row>
    <row r="37" customFormat="false" ht="19.5" hidden="false" customHeight="true" outlineLevel="0" collapsed="false">
      <c r="A37" s="22" t="s">
        <v>149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customFormat="false" ht="15" hidden="false" customHeight="false" outlineLevel="0" collapsed="false">
      <c r="A38" s="23" t="s">
        <v>150</v>
      </c>
      <c r="B38" s="24" t="s">
        <v>151</v>
      </c>
      <c r="C38" s="23" t="s">
        <v>152</v>
      </c>
      <c r="D38" s="24" t="s">
        <v>153</v>
      </c>
      <c r="E38" s="25" t="s">
        <v>53</v>
      </c>
      <c r="F38" s="25" t="s">
        <v>24</v>
      </c>
      <c r="G38" s="25" t="s">
        <v>58</v>
      </c>
      <c r="H38" s="25" t="s">
        <v>27</v>
      </c>
      <c r="I38" s="25" t="s">
        <v>27</v>
      </c>
      <c r="J38" s="25" t="s">
        <v>26</v>
      </c>
      <c r="K38" s="25" t="s">
        <v>25</v>
      </c>
      <c r="L38" s="25" t="s">
        <v>25</v>
      </c>
      <c r="M38" s="25" t="s">
        <v>25</v>
      </c>
      <c r="N38" s="24" t="s">
        <v>27</v>
      </c>
      <c r="O38" s="26" t="s">
        <v>28</v>
      </c>
      <c r="P38" s="24" t="s">
        <v>154</v>
      </c>
    </row>
    <row r="39" customFormat="false" ht="15" hidden="false" customHeight="false" outlineLevel="0" collapsed="false">
      <c r="A39" s="23" t="s">
        <v>155</v>
      </c>
      <c r="B39" s="24" t="s">
        <v>151</v>
      </c>
      <c r="C39" s="23" t="s">
        <v>156</v>
      </c>
      <c r="D39" s="24" t="s">
        <v>157</v>
      </c>
      <c r="E39" s="25" t="s">
        <v>78</v>
      </c>
      <c r="F39" s="25" t="s">
        <v>24</v>
      </c>
      <c r="G39" s="25" t="s">
        <v>27</v>
      </c>
      <c r="H39" s="25" t="s">
        <v>27</v>
      </c>
      <c r="I39" s="25" t="s">
        <v>27</v>
      </c>
      <c r="J39" s="25" t="s">
        <v>26</v>
      </c>
      <c r="K39" s="25" t="s">
        <v>25</v>
      </c>
      <c r="L39" s="25" t="s">
        <v>25</v>
      </c>
      <c r="M39" s="25" t="s">
        <v>26</v>
      </c>
      <c r="N39" s="24" t="s">
        <v>27</v>
      </c>
      <c r="O39" s="26" t="s">
        <v>28</v>
      </c>
      <c r="P39" s="24" t="s">
        <v>154</v>
      </c>
    </row>
    <row r="40" customFormat="false" ht="15" hidden="false" customHeight="false" outlineLevel="0" collapsed="false">
      <c r="A40" s="23" t="s">
        <v>158</v>
      </c>
      <c r="B40" s="24" t="s">
        <v>151</v>
      </c>
      <c r="C40" s="23" t="s">
        <v>159</v>
      </c>
      <c r="D40" s="24" t="s">
        <v>160</v>
      </c>
      <c r="E40" s="25" t="s">
        <v>78</v>
      </c>
      <c r="F40" s="25" t="s">
        <v>24</v>
      </c>
      <c r="G40" s="25" t="s">
        <v>27</v>
      </c>
      <c r="H40" s="25" t="s">
        <v>27</v>
      </c>
      <c r="I40" s="25" t="s">
        <v>27</v>
      </c>
      <c r="J40" s="25" t="s">
        <v>26</v>
      </c>
      <c r="K40" s="25" t="s">
        <v>25</v>
      </c>
      <c r="L40" s="25" t="s">
        <v>25</v>
      </c>
      <c r="M40" s="25" t="s">
        <v>26</v>
      </c>
      <c r="N40" s="24" t="s">
        <v>27</v>
      </c>
      <c r="O40" s="26" t="s">
        <v>28</v>
      </c>
      <c r="P40" s="24" t="s">
        <v>139</v>
      </c>
    </row>
    <row r="41" customFormat="false" ht="23.85" hidden="false" customHeight="false" outlineLevel="0" collapsed="false">
      <c r="A41" s="23" t="s">
        <v>161</v>
      </c>
      <c r="B41" s="24" t="s">
        <v>151</v>
      </c>
      <c r="C41" s="23" t="s">
        <v>162</v>
      </c>
      <c r="D41" s="24" t="s">
        <v>163</v>
      </c>
      <c r="E41" s="25" t="s">
        <v>78</v>
      </c>
      <c r="F41" s="25" t="s">
        <v>24</v>
      </c>
      <c r="G41" s="25" t="s">
        <v>27</v>
      </c>
      <c r="H41" s="25" t="s">
        <v>27</v>
      </c>
      <c r="I41" s="25" t="s">
        <v>27</v>
      </c>
      <c r="J41" s="25" t="s">
        <v>26</v>
      </c>
      <c r="K41" s="25" t="s">
        <v>25</v>
      </c>
      <c r="L41" s="25" t="s">
        <v>25</v>
      </c>
      <c r="M41" s="25" t="s">
        <v>26</v>
      </c>
      <c r="N41" s="24" t="s">
        <v>27</v>
      </c>
      <c r="O41" s="26" t="s">
        <v>28</v>
      </c>
      <c r="P41" s="24" t="s">
        <v>154</v>
      </c>
    </row>
    <row r="42" customFormat="false" ht="19.5" hidden="false" customHeight="true" outlineLevel="0" collapsed="false">
      <c r="A42" s="27" t="s">
        <v>164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customFormat="false" ht="15" hidden="false" customHeight="false" outlineLevel="0" collapsed="false">
      <c r="A43" s="28" t="s">
        <v>165</v>
      </c>
      <c r="B43" s="29" t="s">
        <v>166</v>
      </c>
      <c r="C43" s="28" t="s">
        <v>167</v>
      </c>
      <c r="D43" s="29" t="s">
        <v>168</v>
      </c>
      <c r="E43" s="30" t="s">
        <v>53</v>
      </c>
      <c r="F43" s="30" t="s">
        <v>27</v>
      </c>
      <c r="G43" s="30" t="s">
        <v>58</v>
      </c>
      <c r="H43" s="30" t="s">
        <v>27</v>
      </c>
      <c r="I43" s="30" t="s">
        <v>27</v>
      </c>
      <c r="J43" s="30" t="s">
        <v>26</v>
      </c>
      <c r="K43" s="30" t="s">
        <v>25</v>
      </c>
      <c r="L43" s="30" t="s">
        <v>25</v>
      </c>
      <c r="M43" s="30" t="s">
        <v>25</v>
      </c>
      <c r="N43" s="29" t="s">
        <v>27</v>
      </c>
      <c r="O43" s="31" t="s">
        <v>28</v>
      </c>
      <c r="P43" s="29" t="s">
        <v>169</v>
      </c>
    </row>
    <row r="44" customFormat="false" ht="15" hidden="false" customHeight="false" outlineLevel="0" collapsed="false">
      <c r="A44" s="28" t="s">
        <v>170</v>
      </c>
      <c r="B44" s="29" t="s">
        <v>166</v>
      </c>
      <c r="C44" s="28" t="s">
        <v>171</v>
      </c>
      <c r="D44" s="29" t="s">
        <v>172</v>
      </c>
      <c r="E44" s="30" t="s">
        <v>53</v>
      </c>
      <c r="F44" s="30" t="s">
        <v>27</v>
      </c>
      <c r="G44" s="30" t="s">
        <v>58</v>
      </c>
      <c r="H44" s="30" t="s">
        <v>27</v>
      </c>
      <c r="I44" s="30" t="s">
        <v>27</v>
      </c>
      <c r="J44" s="30" t="s">
        <v>26</v>
      </c>
      <c r="K44" s="30" t="s">
        <v>25</v>
      </c>
      <c r="L44" s="30" t="s">
        <v>25</v>
      </c>
      <c r="M44" s="30" t="s">
        <v>25</v>
      </c>
      <c r="N44" s="29" t="s">
        <v>27</v>
      </c>
      <c r="O44" s="31" t="s">
        <v>28</v>
      </c>
      <c r="P44" s="29" t="s">
        <v>139</v>
      </c>
    </row>
    <row r="45" customFormat="false" ht="15" hidden="false" customHeight="false" outlineLevel="0" collapsed="false">
      <c r="A45" s="28" t="s">
        <v>173</v>
      </c>
      <c r="B45" s="29" t="s">
        <v>166</v>
      </c>
      <c r="C45" s="28" t="s">
        <v>174</v>
      </c>
      <c r="D45" s="29" t="s">
        <v>175</v>
      </c>
      <c r="E45" s="30" t="s">
        <v>78</v>
      </c>
      <c r="F45" s="30" t="s">
        <v>27</v>
      </c>
      <c r="G45" s="30" t="s">
        <v>58</v>
      </c>
      <c r="H45" s="30" t="s">
        <v>27</v>
      </c>
      <c r="I45" s="30" t="s">
        <v>27</v>
      </c>
      <c r="J45" s="30" t="s">
        <v>26</v>
      </c>
      <c r="K45" s="30" t="s">
        <v>25</v>
      </c>
      <c r="L45" s="30" t="s">
        <v>25</v>
      </c>
      <c r="M45" s="30" t="s">
        <v>26</v>
      </c>
      <c r="N45" s="29" t="s">
        <v>27</v>
      </c>
      <c r="O45" s="31" t="s">
        <v>28</v>
      </c>
      <c r="P45" s="29" t="s">
        <v>169</v>
      </c>
    </row>
    <row r="46" customFormat="false" ht="15" hidden="false" customHeight="false" outlineLevel="0" collapsed="false">
      <c r="A46" s="28" t="s">
        <v>176</v>
      </c>
      <c r="B46" s="29" t="s">
        <v>166</v>
      </c>
      <c r="C46" s="28" t="s">
        <v>177</v>
      </c>
      <c r="D46" s="29" t="s">
        <v>178</v>
      </c>
      <c r="E46" s="30" t="s">
        <v>78</v>
      </c>
      <c r="F46" s="30" t="s">
        <v>27</v>
      </c>
      <c r="G46" s="30" t="s">
        <v>58</v>
      </c>
      <c r="H46" s="30" t="s">
        <v>27</v>
      </c>
      <c r="I46" s="30" t="s">
        <v>27</v>
      </c>
      <c r="J46" s="30" t="s">
        <v>26</v>
      </c>
      <c r="K46" s="30" t="s">
        <v>25</v>
      </c>
      <c r="L46" s="30" t="s">
        <v>25</v>
      </c>
      <c r="M46" s="30" t="s">
        <v>26</v>
      </c>
      <c r="N46" s="29" t="s">
        <v>27</v>
      </c>
      <c r="O46" s="31" t="s">
        <v>28</v>
      </c>
      <c r="P46" s="29" t="s">
        <v>169</v>
      </c>
    </row>
    <row r="47" customFormat="false" ht="15" hidden="false" customHeight="false" outlineLevel="0" collapsed="false">
      <c r="A47" s="28" t="s">
        <v>179</v>
      </c>
      <c r="B47" s="29" t="s">
        <v>166</v>
      </c>
      <c r="C47" s="28" t="s">
        <v>180</v>
      </c>
      <c r="D47" s="29" t="s">
        <v>181</v>
      </c>
      <c r="E47" s="30" t="s">
        <v>78</v>
      </c>
      <c r="F47" s="30" t="s">
        <v>27</v>
      </c>
      <c r="G47" s="30" t="s">
        <v>58</v>
      </c>
      <c r="H47" s="30" t="s">
        <v>27</v>
      </c>
      <c r="I47" s="30" t="s">
        <v>27</v>
      </c>
      <c r="J47" s="30" t="s">
        <v>25</v>
      </c>
      <c r="K47" s="30" t="s">
        <v>25</v>
      </c>
      <c r="L47" s="30" t="s">
        <v>25</v>
      </c>
      <c r="M47" s="30" t="s">
        <v>26</v>
      </c>
      <c r="N47" s="29" t="s">
        <v>27</v>
      </c>
      <c r="O47" s="31" t="s">
        <v>28</v>
      </c>
      <c r="P47" s="29" t="s">
        <v>169</v>
      </c>
    </row>
    <row r="48" customFormat="false" ht="15" hidden="false" customHeight="false" outlineLevel="0" collapsed="false">
      <c r="A48" s="28" t="s">
        <v>182</v>
      </c>
      <c r="B48" s="29" t="s">
        <v>166</v>
      </c>
      <c r="C48" s="28" t="s">
        <v>183</v>
      </c>
      <c r="D48" s="29" t="s">
        <v>184</v>
      </c>
      <c r="E48" s="30" t="s">
        <v>78</v>
      </c>
      <c r="F48" s="30" t="s">
        <v>27</v>
      </c>
      <c r="G48" s="30" t="s">
        <v>58</v>
      </c>
      <c r="H48" s="30" t="s">
        <v>27</v>
      </c>
      <c r="I48" s="30" t="s">
        <v>27</v>
      </c>
      <c r="J48" s="30" t="s">
        <v>26</v>
      </c>
      <c r="K48" s="30" t="s">
        <v>25</v>
      </c>
      <c r="L48" s="30" t="s">
        <v>25</v>
      </c>
      <c r="M48" s="30" t="s">
        <v>26</v>
      </c>
      <c r="N48" s="29" t="s">
        <v>27</v>
      </c>
      <c r="O48" s="32" t="s">
        <v>79</v>
      </c>
      <c r="P48" s="29" t="s">
        <v>185</v>
      </c>
    </row>
    <row r="49" customFormat="false" ht="15" hidden="false" customHeight="false" outlineLevel="0" collapsed="false">
      <c r="A49" s="28" t="s">
        <v>186</v>
      </c>
      <c r="B49" s="29" t="s">
        <v>166</v>
      </c>
      <c r="C49" s="28" t="s">
        <v>187</v>
      </c>
      <c r="D49" s="29" t="s">
        <v>188</v>
      </c>
      <c r="E49" s="30" t="s">
        <v>53</v>
      </c>
      <c r="F49" s="30" t="s">
        <v>24</v>
      </c>
      <c r="G49" s="30" t="s">
        <v>27</v>
      </c>
      <c r="H49" s="30" t="s">
        <v>27</v>
      </c>
      <c r="I49" s="30" t="s">
        <v>27</v>
      </c>
      <c r="J49" s="30" t="s">
        <v>26</v>
      </c>
      <c r="K49" s="30" t="s">
        <v>25</v>
      </c>
      <c r="L49" s="30" t="s">
        <v>25</v>
      </c>
      <c r="M49" s="30" t="s">
        <v>25</v>
      </c>
      <c r="N49" s="29" t="s">
        <v>27</v>
      </c>
      <c r="O49" s="31" t="s">
        <v>28</v>
      </c>
      <c r="P49" s="29" t="s">
        <v>88</v>
      </c>
    </row>
    <row r="50" customFormat="false" ht="19.5" hidden="false" customHeight="true" outlineLevel="0" collapsed="false">
      <c r="A50" s="33" t="s">
        <v>189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</row>
    <row r="51" customFormat="false" ht="15" hidden="false" customHeight="false" outlineLevel="0" collapsed="false">
      <c r="A51" s="34" t="s">
        <v>190</v>
      </c>
      <c r="B51" s="35" t="s">
        <v>191</v>
      </c>
      <c r="C51" s="34" t="s">
        <v>192</v>
      </c>
      <c r="D51" s="35" t="s">
        <v>193</v>
      </c>
      <c r="E51" s="36" t="s">
        <v>53</v>
      </c>
      <c r="F51" s="36" t="s">
        <v>58</v>
      </c>
      <c r="G51" s="36" t="s">
        <v>58</v>
      </c>
      <c r="H51" s="36" t="s">
        <v>63</v>
      </c>
      <c r="I51" s="36" t="s">
        <v>63</v>
      </c>
      <c r="J51" s="36" t="s">
        <v>26</v>
      </c>
      <c r="K51" s="36" t="s">
        <v>25</v>
      </c>
      <c r="L51" s="36" t="s">
        <v>25</v>
      </c>
      <c r="M51" s="36" t="s">
        <v>25</v>
      </c>
      <c r="N51" s="35" t="s">
        <v>27</v>
      </c>
      <c r="O51" s="37" t="s">
        <v>28</v>
      </c>
      <c r="P51" s="35" t="s">
        <v>194</v>
      </c>
    </row>
    <row r="52" customFormat="false" ht="15" hidden="false" customHeight="false" outlineLevel="0" collapsed="false">
      <c r="A52" s="34" t="s">
        <v>195</v>
      </c>
      <c r="B52" s="35" t="s">
        <v>191</v>
      </c>
      <c r="C52" s="34" t="s">
        <v>196</v>
      </c>
      <c r="D52" s="35" t="s">
        <v>197</v>
      </c>
      <c r="E52" s="36" t="s">
        <v>78</v>
      </c>
      <c r="F52" s="36" t="s">
        <v>27</v>
      </c>
      <c r="G52" s="36" t="s">
        <v>27</v>
      </c>
      <c r="H52" s="36" t="s">
        <v>63</v>
      </c>
      <c r="I52" s="36" t="s">
        <v>27</v>
      </c>
      <c r="J52" s="36" t="s">
        <v>26</v>
      </c>
      <c r="K52" s="36" t="s">
        <v>25</v>
      </c>
      <c r="L52" s="36" t="s">
        <v>25</v>
      </c>
      <c r="M52" s="36" t="s">
        <v>26</v>
      </c>
      <c r="N52" s="35" t="s">
        <v>27</v>
      </c>
      <c r="O52" s="37" t="s">
        <v>28</v>
      </c>
      <c r="P52" s="35" t="s">
        <v>198</v>
      </c>
    </row>
    <row r="53" customFormat="false" ht="15" hidden="false" customHeight="false" outlineLevel="0" collapsed="false">
      <c r="A53" s="34" t="s">
        <v>199</v>
      </c>
      <c r="B53" s="35" t="s">
        <v>191</v>
      </c>
      <c r="C53" s="34" t="s">
        <v>200</v>
      </c>
      <c r="D53" s="35" t="s">
        <v>201</v>
      </c>
      <c r="E53" s="36" t="s">
        <v>78</v>
      </c>
      <c r="F53" s="36" t="s">
        <v>27</v>
      </c>
      <c r="G53" s="36" t="s">
        <v>27</v>
      </c>
      <c r="H53" s="36" t="s">
        <v>63</v>
      </c>
      <c r="I53" s="36" t="s">
        <v>27</v>
      </c>
      <c r="J53" s="36" t="s">
        <v>26</v>
      </c>
      <c r="K53" s="36" t="s">
        <v>25</v>
      </c>
      <c r="L53" s="36" t="s">
        <v>25</v>
      </c>
      <c r="M53" s="36" t="s">
        <v>26</v>
      </c>
      <c r="N53" s="35" t="s">
        <v>27</v>
      </c>
      <c r="O53" s="37" t="s">
        <v>28</v>
      </c>
      <c r="P53" s="35" t="s">
        <v>202</v>
      </c>
    </row>
    <row r="54" customFormat="false" ht="15" hidden="false" customHeight="false" outlineLevel="0" collapsed="false">
      <c r="A54" s="34" t="s">
        <v>203</v>
      </c>
      <c r="B54" s="35" t="s">
        <v>191</v>
      </c>
      <c r="C54" s="34" t="s">
        <v>204</v>
      </c>
      <c r="D54" s="35" t="s">
        <v>205</v>
      </c>
      <c r="E54" s="36" t="s">
        <v>78</v>
      </c>
      <c r="F54" s="36" t="s">
        <v>27</v>
      </c>
      <c r="G54" s="36" t="s">
        <v>27</v>
      </c>
      <c r="H54" s="36" t="s">
        <v>63</v>
      </c>
      <c r="I54" s="36" t="s">
        <v>27</v>
      </c>
      <c r="J54" s="36" t="s">
        <v>26</v>
      </c>
      <c r="K54" s="36" t="s">
        <v>25</v>
      </c>
      <c r="L54" s="36" t="s">
        <v>46</v>
      </c>
      <c r="M54" s="36" t="s">
        <v>26</v>
      </c>
      <c r="N54" s="35" t="s">
        <v>27</v>
      </c>
      <c r="O54" s="37" t="s">
        <v>28</v>
      </c>
      <c r="P54" s="35" t="s">
        <v>194</v>
      </c>
    </row>
    <row r="55" customFormat="false" ht="15" hidden="false" customHeight="false" outlineLevel="0" collapsed="false">
      <c r="A55" s="34" t="s">
        <v>206</v>
      </c>
      <c r="B55" s="35" t="s">
        <v>191</v>
      </c>
      <c r="C55" s="34" t="s">
        <v>207</v>
      </c>
      <c r="D55" s="35" t="s">
        <v>208</v>
      </c>
      <c r="E55" s="36" t="s">
        <v>78</v>
      </c>
      <c r="F55" s="36" t="s">
        <v>27</v>
      </c>
      <c r="G55" s="36" t="s">
        <v>27</v>
      </c>
      <c r="H55" s="36" t="s">
        <v>63</v>
      </c>
      <c r="I55" s="36" t="s">
        <v>27</v>
      </c>
      <c r="J55" s="36" t="s">
        <v>26</v>
      </c>
      <c r="K55" s="36" t="s">
        <v>25</v>
      </c>
      <c r="L55" s="36" t="s">
        <v>25</v>
      </c>
      <c r="M55" s="36" t="s">
        <v>26</v>
      </c>
      <c r="N55" s="35" t="s">
        <v>27</v>
      </c>
      <c r="O55" s="37" t="s">
        <v>28</v>
      </c>
      <c r="P55" s="35" t="s">
        <v>202</v>
      </c>
    </row>
    <row r="56" customFormat="false" ht="15" hidden="false" customHeight="false" outlineLevel="0" collapsed="false">
      <c r="A56" s="34" t="s">
        <v>209</v>
      </c>
      <c r="B56" s="35" t="s">
        <v>191</v>
      </c>
      <c r="C56" s="34" t="s">
        <v>210</v>
      </c>
      <c r="D56" s="35" t="s">
        <v>211</v>
      </c>
      <c r="E56" s="36" t="s">
        <v>53</v>
      </c>
      <c r="F56" s="36" t="s">
        <v>27</v>
      </c>
      <c r="G56" s="36" t="s">
        <v>58</v>
      </c>
      <c r="H56" s="36" t="s">
        <v>63</v>
      </c>
      <c r="I56" s="36" t="s">
        <v>27</v>
      </c>
      <c r="J56" s="36" t="s">
        <v>26</v>
      </c>
      <c r="K56" s="36" t="s">
        <v>25</v>
      </c>
      <c r="L56" s="36" t="s">
        <v>25</v>
      </c>
      <c r="M56" s="36" t="s">
        <v>25</v>
      </c>
      <c r="N56" s="35" t="s">
        <v>27</v>
      </c>
      <c r="O56" s="37" t="s">
        <v>28</v>
      </c>
      <c r="P56" s="35" t="s">
        <v>74</v>
      </c>
    </row>
    <row r="57" customFormat="false" ht="15" hidden="false" customHeight="false" outlineLevel="0" collapsed="false">
      <c r="A57" s="34" t="s">
        <v>212</v>
      </c>
      <c r="B57" s="35" t="s">
        <v>191</v>
      </c>
      <c r="C57" s="34" t="s">
        <v>213</v>
      </c>
      <c r="D57" s="35" t="s">
        <v>214</v>
      </c>
      <c r="E57" s="36" t="s">
        <v>78</v>
      </c>
      <c r="F57" s="36" t="s">
        <v>27</v>
      </c>
      <c r="G57" s="36" t="s">
        <v>27</v>
      </c>
      <c r="H57" s="36" t="s">
        <v>63</v>
      </c>
      <c r="I57" s="36" t="s">
        <v>27</v>
      </c>
      <c r="J57" s="36" t="s">
        <v>26</v>
      </c>
      <c r="K57" s="36" t="s">
        <v>25</v>
      </c>
      <c r="L57" s="36" t="s">
        <v>25</v>
      </c>
      <c r="M57" s="36" t="s">
        <v>26</v>
      </c>
      <c r="N57" s="35" t="s">
        <v>27</v>
      </c>
      <c r="O57" s="37" t="s">
        <v>28</v>
      </c>
      <c r="P57" s="35" t="s">
        <v>202</v>
      </c>
    </row>
    <row r="58" customFormat="false" ht="15" hidden="false" customHeight="false" outlineLevel="0" collapsed="false">
      <c r="A58" s="34" t="s">
        <v>215</v>
      </c>
      <c r="B58" s="35" t="s">
        <v>191</v>
      </c>
      <c r="C58" s="34" t="s">
        <v>216</v>
      </c>
      <c r="D58" s="35" t="s">
        <v>217</v>
      </c>
      <c r="E58" s="36" t="s">
        <v>78</v>
      </c>
      <c r="F58" s="36" t="s">
        <v>27</v>
      </c>
      <c r="G58" s="36" t="s">
        <v>27</v>
      </c>
      <c r="H58" s="36" t="s">
        <v>63</v>
      </c>
      <c r="I58" s="36" t="s">
        <v>27</v>
      </c>
      <c r="J58" s="36" t="s">
        <v>26</v>
      </c>
      <c r="K58" s="36" t="s">
        <v>25</v>
      </c>
      <c r="L58" s="36" t="s">
        <v>25</v>
      </c>
      <c r="M58" s="36" t="s">
        <v>26</v>
      </c>
      <c r="N58" s="35" t="s">
        <v>27</v>
      </c>
      <c r="O58" s="37" t="s">
        <v>28</v>
      </c>
      <c r="P58" s="35" t="s">
        <v>218</v>
      </c>
    </row>
    <row r="59" customFormat="false" ht="19.5" hidden="false" customHeight="true" outlineLevel="0" collapsed="false">
      <c r="A59" s="38" t="s">
        <v>219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customFormat="false" ht="15" hidden="false" customHeight="false" outlineLevel="0" collapsed="false">
      <c r="A60" s="39" t="s">
        <v>220</v>
      </c>
      <c r="B60" s="40" t="s">
        <v>221</v>
      </c>
      <c r="C60" s="39" t="s">
        <v>222</v>
      </c>
      <c r="D60" s="40" t="s">
        <v>223</v>
      </c>
      <c r="E60" s="41" t="s">
        <v>53</v>
      </c>
      <c r="F60" s="41" t="s">
        <v>58</v>
      </c>
      <c r="G60" s="41" t="s">
        <v>58</v>
      </c>
      <c r="H60" s="41" t="s">
        <v>27</v>
      </c>
      <c r="I60" s="41" t="s">
        <v>27</v>
      </c>
      <c r="J60" s="41" t="s">
        <v>26</v>
      </c>
      <c r="K60" s="41" t="s">
        <v>25</v>
      </c>
      <c r="L60" s="41" t="s">
        <v>25</v>
      </c>
      <c r="M60" s="41" t="s">
        <v>25</v>
      </c>
      <c r="N60" s="40" t="s">
        <v>27</v>
      </c>
      <c r="O60" s="42" t="s">
        <v>28</v>
      </c>
      <c r="P60" s="40" t="s">
        <v>224</v>
      </c>
    </row>
    <row r="61" customFormat="false" ht="15" hidden="false" customHeight="false" outlineLevel="0" collapsed="false">
      <c r="A61" s="39" t="s">
        <v>225</v>
      </c>
      <c r="B61" s="40" t="s">
        <v>221</v>
      </c>
      <c r="C61" s="39" t="s">
        <v>226</v>
      </c>
      <c r="D61" s="40" t="s">
        <v>227</v>
      </c>
      <c r="E61" s="41" t="s">
        <v>78</v>
      </c>
      <c r="F61" s="41" t="s">
        <v>58</v>
      </c>
      <c r="G61" s="41" t="s">
        <v>58</v>
      </c>
      <c r="H61" s="41" t="s">
        <v>27</v>
      </c>
      <c r="I61" s="41" t="s">
        <v>27</v>
      </c>
      <c r="J61" s="41" t="s">
        <v>26</v>
      </c>
      <c r="K61" s="41" t="s">
        <v>25</v>
      </c>
      <c r="L61" s="41" t="s">
        <v>25</v>
      </c>
      <c r="M61" s="41" t="s">
        <v>26</v>
      </c>
      <c r="N61" s="40" t="s">
        <v>27</v>
      </c>
      <c r="O61" s="42" t="s">
        <v>28</v>
      </c>
      <c r="P61" s="40" t="s">
        <v>154</v>
      </c>
    </row>
    <row r="62" customFormat="false" ht="23.85" hidden="false" customHeight="false" outlineLevel="0" collapsed="false">
      <c r="A62" s="39" t="s">
        <v>228</v>
      </c>
      <c r="B62" s="40" t="s">
        <v>221</v>
      </c>
      <c r="C62" s="39" t="s">
        <v>229</v>
      </c>
      <c r="D62" s="40" t="s">
        <v>230</v>
      </c>
      <c r="E62" s="41" t="s">
        <v>78</v>
      </c>
      <c r="F62" s="41" t="s">
        <v>27</v>
      </c>
      <c r="G62" s="41" t="s">
        <v>58</v>
      </c>
      <c r="H62" s="41" t="s">
        <v>63</v>
      </c>
      <c r="I62" s="41" t="s">
        <v>27</v>
      </c>
      <c r="J62" s="41" t="s">
        <v>26</v>
      </c>
      <c r="K62" s="41" t="s">
        <v>25</v>
      </c>
      <c r="L62" s="41" t="s">
        <v>25</v>
      </c>
      <c r="M62" s="41" t="s">
        <v>26</v>
      </c>
      <c r="N62" s="40" t="s">
        <v>27</v>
      </c>
      <c r="O62" s="43" t="s">
        <v>79</v>
      </c>
      <c r="P62" s="40" t="s">
        <v>231</v>
      </c>
    </row>
    <row r="63" customFormat="false" ht="15" hidden="false" customHeight="false" outlineLevel="0" collapsed="false">
      <c r="A63" s="39" t="s">
        <v>232</v>
      </c>
      <c r="B63" s="40" t="s">
        <v>221</v>
      </c>
      <c r="C63" s="39" t="s">
        <v>233</v>
      </c>
      <c r="D63" s="40" t="s">
        <v>234</v>
      </c>
      <c r="E63" s="41" t="s">
        <v>78</v>
      </c>
      <c r="F63" s="41" t="s">
        <v>27</v>
      </c>
      <c r="G63" s="41" t="s">
        <v>58</v>
      </c>
      <c r="H63" s="41" t="s">
        <v>27</v>
      </c>
      <c r="I63" s="41" t="s">
        <v>27</v>
      </c>
      <c r="J63" s="41" t="s">
        <v>26</v>
      </c>
      <c r="K63" s="41" t="s">
        <v>25</v>
      </c>
      <c r="L63" s="41" t="s">
        <v>25</v>
      </c>
      <c r="M63" s="41" t="s">
        <v>26</v>
      </c>
      <c r="N63" s="40" t="s">
        <v>27</v>
      </c>
      <c r="O63" s="44" t="s">
        <v>46</v>
      </c>
      <c r="P63" s="40" t="s">
        <v>47</v>
      </c>
    </row>
    <row r="64" customFormat="false" ht="19.5" hidden="false" customHeight="true" outlineLevel="0" collapsed="false">
      <c r="A64" s="45" t="s">
        <v>235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</row>
    <row r="65" customFormat="false" ht="15" hidden="false" customHeight="false" outlineLevel="0" collapsed="false">
      <c r="A65" s="46" t="s">
        <v>236</v>
      </c>
      <c r="B65" s="47" t="s">
        <v>237</v>
      </c>
      <c r="C65" s="46" t="s">
        <v>238</v>
      </c>
      <c r="D65" s="47" t="s">
        <v>239</v>
      </c>
      <c r="E65" s="48" t="s">
        <v>53</v>
      </c>
      <c r="F65" s="48" t="s">
        <v>58</v>
      </c>
      <c r="G65" s="48" t="s">
        <v>58</v>
      </c>
      <c r="H65" s="48" t="s">
        <v>63</v>
      </c>
      <c r="I65" s="48" t="s">
        <v>27</v>
      </c>
      <c r="J65" s="48" t="s">
        <v>26</v>
      </c>
      <c r="K65" s="48" t="s">
        <v>25</v>
      </c>
      <c r="L65" s="48" t="s">
        <v>25</v>
      </c>
      <c r="M65" s="48" t="s">
        <v>25</v>
      </c>
      <c r="N65" s="47" t="s">
        <v>27</v>
      </c>
      <c r="O65" s="49" t="s">
        <v>28</v>
      </c>
      <c r="P65" s="47" t="s">
        <v>240</v>
      </c>
    </row>
    <row r="66" customFormat="false" ht="15" hidden="false" customHeight="false" outlineLevel="0" collapsed="false">
      <c r="A66" s="46" t="s">
        <v>241</v>
      </c>
      <c r="B66" s="47" t="s">
        <v>237</v>
      </c>
      <c r="C66" s="46" t="s">
        <v>242</v>
      </c>
      <c r="D66" s="47" t="s">
        <v>243</v>
      </c>
      <c r="E66" s="48" t="s">
        <v>78</v>
      </c>
      <c r="F66" s="48" t="s">
        <v>58</v>
      </c>
      <c r="G66" s="48" t="s">
        <v>27</v>
      </c>
      <c r="H66" s="48" t="s">
        <v>63</v>
      </c>
      <c r="I66" s="48" t="s">
        <v>27</v>
      </c>
      <c r="J66" s="48" t="s">
        <v>26</v>
      </c>
      <c r="K66" s="48" t="s">
        <v>25</v>
      </c>
      <c r="L66" s="48" t="s">
        <v>25</v>
      </c>
      <c r="M66" s="48" t="s">
        <v>26</v>
      </c>
      <c r="N66" s="47" t="s">
        <v>27</v>
      </c>
      <c r="O66" s="49" t="s">
        <v>28</v>
      </c>
      <c r="P66" s="47" t="s">
        <v>88</v>
      </c>
    </row>
    <row r="67" customFormat="false" ht="15" hidden="false" customHeight="false" outlineLevel="0" collapsed="false">
      <c r="A67" s="46" t="s">
        <v>244</v>
      </c>
      <c r="B67" s="47" t="s">
        <v>237</v>
      </c>
      <c r="C67" s="46" t="s">
        <v>245</v>
      </c>
      <c r="D67" s="47" t="s">
        <v>246</v>
      </c>
      <c r="E67" s="48" t="s">
        <v>78</v>
      </c>
      <c r="F67" s="48" t="s">
        <v>58</v>
      </c>
      <c r="G67" s="48" t="s">
        <v>27</v>
      </c>
      <c r="H67" s="48" t="s">
        <v>63</v>
      </c>
      <c r="I67" s="48" t="s">
        <v>27</v>
      </c>
      <c r="J67" s="48" t="s">
        <v>26</v>
      </c>
      <c r="K67" s="48" t="s">
        <v>25</v>
      </c>
      <c r="L67" s="48" t="s">
        <v>25</v>
      </c>
      <c r="M67" s="48" t="s">
        <v>26</v>
      </c>
      <c r="N67" s="47" t="s">
        <v>27</v>
      </c>
      <c r="O67" s="49" t="s">
        <v>28</v>
      </c>
      <c r="P67" s="47" t="s">
        <v>106</v>
      </c>
    </row>
    <row r="68" customFormat="false" ht="15" hidden="false" customHeight="false" outlineLevel="0" collapsed="false">
      <c r="A68" s="46" t="s">
        <v>247</v>
      </c>
      <c r="B68" s="47" t="s">
        <v>237</v>
      </c>
      <c r="C68" s="46" t="s">
        <v>248</v>
      </c>
      <c r="D68" s="47" t="s">
        <v>249</v>
      </c>
      <c r="E68" s="48" t="s">
        <v>78</v>
      </c>
      <c r="F68" s="48" t="s">
        <v>58</v>
      </c>
      <c r="G68" s="48" t="s">
        <v>27</v>
      </c>
      <c r="H68" s="48" t="s">
        <v>63</v>
      </c>
      <c r="I68" s="48" t="s">
        <v>27</v>
      </c>
      <c r="J68" s="48" t="s">
        <v>26</v>
      </c>
      <c r="K68" s="48" t="s">
        <v>25</v>
      </c>
      <c r="L68" s="48" t="s">
        <v>25</v>
      </c>
      <c r="M68" s="48" t="s">
        <v>26</v>
      </c>
      <c r="N68" s="47" t="s">
        <v>27</v>
      </c>
      <c r="O68" s="49" t="s">
        <v>28</v>
      </c>
      <c r="P68" s="47" t="s">
        <v>250</v>
      </c>
    </row>
    <row r="69" customFormat="false" ht="19.5" hidden="false" customHeight="true" outlineLevel="0" collapsed="false">
      <c r="A69" s="50" t="s">
        <v>251</v>
      </c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</row>
    <row r="70" customFormat="false" ht="15" hidden="false" customHeight="false" outlineLevel="0" collapsed="false">
      <c r="A70" s="51" t="s">
        <v>252</v>
      </c>
      <c r="B70" s="52" t="s">
        <v>253</v>
      </c>
      <c r="C70" s="51" t="s">
        <v>254</v>
      </c>
      <c r="D70" s="52" t="s">
        <v>255</v>
      </c>
      <c r="E70" s="53" t="s">
        <v>53</v>
      </c>
      <c r="F70" s="53" t="s">
        <v>27</v>
      </c>
      <c r="G70" s="53" t="s">
        <v>27</v>
      </c>
      <c r="H70" s="53" t="s">
        <v>63</v>
      </c>
      <c r="I70" s="53" t="s">
        <v>27</v>
      </c>
      <c r="J70" s="53" t="s">
        <v>25</v>
      </c>
      <c r="K70" s="53" t="s">
        <v>25</v>
      </c>
      <c r="L70" s="53" t="s">
        <v>25</v>
      </c>
      <c r="M70" s="53" t="s">
        <v>25</v>
      </c>
      <c r="N70" s="52" t="s">
        <v>27</v>
      </c>
      <c r="O70" s="54" t="s">
        <v>46</v>
      </c>
      <c r="P70" s="52" t="s">
        <v>47</v>
      </c>
    </row>
    <row r="71" customFormat="false" ht="15" hidden="false" customHeight="false" outlineLevel="0" collapsed="false">
      <c r="A71" s="51" t="s">
        <v>256</v>
      </c>
      <c r="B71" s="52" t="s">
        <v>253</v>
      </c>
      <c r="C71" s="51" t="s">
        <v>257</v>
      </c>
      <c r="D71" s="52" t="s">
        <v>258</v>
      </c>
      <c r="E71" s="53" t="s">
        <v>78</v>
      </c>
      <c r="F71" s="53" t="s">
        <v>24</v>
      </c>
      <c r="G71" s="53" t="s">
        <v>27</v>
      </c>
      <c r="H71" s="53" t="s">
        <v>63</v>
      </c>
      <c r="I71" s="53" t="s">
        <v>27</v>
      </c>
      <c r="J71" s="53" t="s">
        <v>25</v>
      </c>
      <c r="K71" s="53" t="s">
        <v>25</v>
      </c>
      <c r="L71" s="53" t="s">
        <v>25</v>
      </c>
      <c r="M71" s="53" t="s">
        <v>26</v>
      </c>
      <c r="N71" s="52" t="s">
        <v>27</v>
      </c>
      <c r="O71" s="54" t="s">
        <v>46</v>
      </c>
      <c r="P71" s="52" t="s">
        <v>47</v>
      </c>
    </row>
    <row r="72" customFormat="false" ht="19.5" hidden="false" customHeight="true" outlineLevel="0" collapsed="false">
      <c r="A72" s="55" t="s">
        <v>259</v>
      </c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</row>
    <row r="73" customFormat="false" ht="15" hidden="false" customHeight="false" outlineLevel="0" collapsed="false">
      <c r="A73" s="56" t="s">
        <v>260</v>
      </c>
      <c r="B73" s="57" t="s">
        <v>261</v>
      </c>
      <c r="C73" s="56" t="s">
        <v>262</v>
      </c>
      <c r="D73" s="57" t="s">
        <v>263</v>
      </c>
      <c r="E73" s="58" t="s">
        <v>53</v>
      </c>
      <c r="F73" s="58" t="s">
        <v>27</v>
      </c>
      <c r="G73" s="58" t="s">
        <v>58</v>
      </c>
      <c r="H73" s="58" t="s">
        <v>27</v>
      </c>
      <c r="I73" s="58" t="s">
        <v>27</v>
      </c>
      <c r="J73" s="58" t="s">
        <v>26</v>
      </c>
      <c r="K73" s="58" t="s">
        <v>25</v>
      </c>
      <c r="L73" s="58" t="s">
        <v>25</v>
      </c>
      <c r="M73" s="58" t="s">
        <v>25</v>
      </c>
      <c r="N73" s="57" t="s">
        <v>27</v>
      </c>
      <c r="O73" s="59" t="s">
        <v>28</v>
      </c>
      <c r="P73" s="57" t="s">
        <v>264</v>
      </c>
    </row>
    <row r="74" customFormat="false" ht="15" hidden="false" customHeight="false" outlineLevel="0" collapsed="false">
      <c r="A74" s="56" t="s">
        <v>265</v>
      </c>
      <c r="B74" s="57" t="s">
        <v>261</v>
      </c>
      <c r="C74" s="56" t="s">
        <v>266</v>
      </c>
      <c r="D74" s="57" t="s">
        <v>267</v>
      </c>
      <c r="E74" s="58" t="s">
        <v>53</v>
      </c>
      <c r="F74" s="58" t="s">
        <v>27</v>
      </c>
      <c r="G74" s="58" t="s">
        <v>58</v>
      </c>
      <c r="H74" s="58" t="s">
        <v>27</v>
      </c>
      <c r="I74" s="58" t="s">
        <v>27</v>
      </c>
      <c r="J74" s="58" t="s">
        <v>26</v>
      </c>
      <c r="K74" s="58" t="s">
        <v>25</v>
      </c>
      <c r="L74" s="58" t="s">
        <v>25</v>
      </c>
      <c r="M74" s="58" t="s">
        <v>25</v>
      </c>
      <c r="N74" s="57" t="s">
        <v>27</v>
      </c>
      <c r="O74" s="59" t="s">
        <v>28</v>
      </c>
      <c r="P74" s="57" t="s">
        <v>264</v>
      </c>
    </row>
    <row r="75" customFormat="false" ht="15" hidden="false" customHeight="false" outlineLevel="0" collapsed="false">
      <c r="A75" s="56" t="s">
        <v>268</v>
      </c>
      <c r="B75" s="57" t="s">
        <v>261</v>
      </c>
      <c r="C75" s="56" t="s">
        <v>269</v>
      </c>
      <c r="D75" s="57" t="s">
        <v>270</v>
      </c>
      <c r="E75" s="58" t="s">
        <v>53</v>
      </c>
      <c r="F75" s="58" t="s">
        <v>27</v>
      </c>
      <c r="G75" s="58" t="s">
        <v>27</v>
      </c>
      <c r="H75" s="58" t="s">
        <v>63</v>
      </c>
      <c r="I75" s="58" t="s">
        <v>27</v>
      </c>
      <c r="J75" s="58" t="s">
        <v>25</v>
      </c>
      <c r="K75" s="58" t="s">
        <v>25</v>
      </c>
      <c r="L75" s="58" t="s">
        <v>25</v>
      </c>
      <c r="M75" s="58" t="s">
        <v>25</v>
      </c>
      <c r="N75" s="57" t="s">
        <v>27</v>
      </c>
      <c r="O75" s="59" t="s">
        <v>28</v>
      </c>
      <c r="P75" s="57" t="s">
        <v>64</v>
      </c>
    </row>
    <row r="76" customFormat="false" ht="15" hidden="false" customHeight="false" outlineLevel="0" collapsed="false">
      <c r="A76" s="56" t="s">
        <v>271</v>
      </c>
      <c r="B76" s="57" t="s">
        <v>261</v>
      </c>
      <c r="C76" s="56" t="s">
        <v>272</v>
      </c>
      <c r="D76" s="57" t="s">
        <v>273</v>
      </c>
      <c r="E76" s="58" t="s">
        <v>78</v>
      </c>
      <c r="F76" s="58" t="s">
        <v>27</v>
      </c>
      <c r="G76" s="58" t="s">
        <v>27</v>
      </c>
      <c r="H76" s="58" t="s">
        <v>27</v>
      </c>
      <c r="I76" s="58" t="s">
        <v>27</v>
      </c>
      <c r="J76" s="58" t="s">
        <v>26</v>
      </c>
      <c r="K76" s="58" t="s">
        <v>25</v>
      </c>
      <c r="L76" s="58" t="s">
        <v>46</v>
      </c>
      <c r="M76" s="58" t="s">
        <v>26</v>
      </c>
      <c r="N76" s="57" t="s">
        <v>27</v>
      </c>
      <c r="O76" s="60" t="s">
        <v>46</v>
      </c>
      <c r="P76" s="57" t="s">
        <v>47</v>
      </c>
    </row>
    <row r="77" customFormat="false" ht="19.5" hidden="false" customHeight="true" outlineLevel="0" collapsed="false">
      <c r="A77" s="61" t="s">
        <v>274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</row>
    <row r="78" customFormat="false" ht="15" hidden="false" customHeight="false" outlineLevel="0" collapsed="false">
      <c r="A78" s="62" t="s">
        <v>275</v>
      </c>
      <c r="B78" s="63" t="s">
        <v>276</v>
      </c>
      <c r="C78" s="62" t="s">
        <v>277</v>
      </c>
      <c r="D78" s="63" t="s">
        <v>278</v>
      </c>
      <c r="E78" s="64" t="s">
        <v>53</v>
      </c>
      <c r="F78" s="64" t="s">
        <v>27</v>
      </c>
      <c r="G78" s="64" t="s">
        <v>27</v>
      </c>
      <c r="H78" s="64" t="s">
        <v>63</v>
      </c>
      <c r="I78" s="64" t="s">
        <v>27</v>
      </c>
      <c r="J78" s="64" t="s">
        <v>25</v>
      </c>
      <c r="K78" s="64" t="s">
        <v>26</v>
      </c>
      <c r="L78" s="64" t="s">
        <v>25</v>
      </c>
      <c r="M78" s="64" t="s">
        <v>25</v>
      </c>
      <c r="N78" s="63" t="s">
        <v>27</v>
      </c>
      <c r="O78" s="65" t="s">
        <v>28</v>
      </c>
      <c r="P78" s="63" t="s">
        <v>279</v>
      </c>
    </row>
    <row r="79" customFormat="false" ht="23.85" hidden="false" customHeight="false" outlineLevel="0" collapsed="false">
      <c r="A79" s="62" t="s">
        <v>280</v>
      </c>
      <c r="B79" s="63" t="s">
        <v>276</v>
      </c>
      <c r="C79" s="62" t="s">
        <v>281</v>
      </c>
      <c r="D79" s="63" t="s">
        <v>282</v>
      </c>
      <c r="E79" s="64" t="s">
        <v>78</v>
      </c>
      <c r="F79" s="64" t="s">
        <v>27</v>
      </c>
      <c r="G79" s="64" t="s">
        <v>27</v>
      </c>
      <c r="H79" s="64" t="s">
        <v>63</v>
      </c>
      <c r="I79" s="64" t="s">
        <v>27</v>
      </c>
      <c r="J79" s="64" t="s">
        <v>25</v>
      </c>
      <c r="K79" s="64" t="s">
        <v>26</v>
      </c>
      <c r="L79" s="64" t="s">
        <v>283</v>
      </c>
      <c r="M79" s="64" t="s">
        <v>26</v>
      </c>
      <c r="N79" s="63" t="s">
        <v>284</v>
      </c>
      <c r="O79" s="65" t="s">
        <v>28</v>
      </c>
      <c r="P79" s="63" t="s">
        <v>285</v>
      </c>
    </row>
    <row r="80" customFormat="false" ht="15" hidden="false" customHeight="false" outlineLevel="0" collapsed="false">
      <c r="A80" s="62" t="s">
        <v>286</v>
      </c>
      <c r="B80" s="63" t="s">
        <v>276</v>
      </c>
      <c r="C80" s="62" t="s">
        <v>287</v>
      </c>
      <c r="D80" s="63" t="s">
        <v>288</v>
      </c>
      <c r="E80" s="64" t="s">
        <v>78</v>
      </c>
      <c r="F80" s="64" t="s">
        <v>27</v>
      </c>
      <c r="G80" s="64" t="s">
        <v>27</v>
      </c>
      <c r="H80" s="64" t="s">
        <v>63</v>
      </c>
      <c r="I80" s="64" t="s">
        <v>27</v>
      </c>
      <c r="J80" s="64" t="s">
        <v>25</v>
      </c>
      <c r="K80" s="64" t="s">
        <v>26</v>
      </c>
      <c r="L80" s="64" t="s">
        <v>26</v>
      </c>
      <c r="M80" s="64" t="s">
        <v>26</v>
      </c>
      <c r="N80" s="63" t="s">
        <v>27</v>
      </c>
      <c r="O80" s="65" t="s">
        <v>28</v>
      </c>
      <c r="P80" s="63" t="s">
        <v>289</v>
      </c>
    </row>
    <row r="81" customFormat="false" ht="15" hidden="false" customHeight="false" outlineLevel="0" collapsed="false">
      <c r="A81" s="62" t="s">
        <v>290</v>
      </c>
      <c r="B81" s="63" t="s">
        <v>276</v>
      </c>
      <c r="C81" s="62" t="s">
        <v>291</v>
      </c>
      <c r="D81" s="63" t="s">
        <v>292</v>
      </c>
      <c r="E81" s="64" t="s">
        <v>78</v>
      </c>
      <c r="F81" s="64" t="s">
        <v>27</v>
      </c>
      <c r="G81" s="64" t="s">
        <v>27</v>
      </c>
      <c r="H81" s="64" t="s">
        <v>63</v>
      </c>
      <c r="I81" s="64" t="s">
        <v>27</v>
      </c>
      <c r="J81" s="64" t="s">
        <v>25</v>
      </c>
      <c r="K81" s="64" t="s">
        <v>26</v>
      </c>
      <c r="L81" s="64" t="s">
        <v>25</v>
      </c>
      <c r="M81" s="64" t="s">
        <v>26</v>
      </c>
      <c r="N81" s="63" t="s">
        <v>27</v>
      </c>
      <c r="O81" s="65" t="s">
        <v>28</v>
      </c>
      <c r="P81" s="63" t="s">
        <v>293</v>
      </c>
    </row>
    <row r="82" customFormat="false" ht="15" hidden="false" customHeight="false" outlineLevel="0" collapsed="false">
      <c r="A82" s="62" t="s">
        <v>294</v>
      </c>
      <c r="B82" s="63" t="s">
        <v>276</v>
      </c>
      <c r="C82" s="62" t="s">
        <v>295</v>
      </c>
      <c r="D82" s="63" t="s">
        <v>296</v>
      </c>
      <c r="E82" s="64" t="s">
        <v>78</v>
      </c>
      <c r="F82" s="64" t="s">
        <v>27</v>
      </c>
      <c r="G82" s="64" t="s">
        <v>27</v>
      </c>
      <c r="H82" s="64" t="s">
        <v>63</v>
      </c>
      <c r="I82" s="64" t="s">
        <v>27</v>
      </c>
      <c r="J82" s="64" t="s">
        <v>25</v>
      </c>
      <c r="K82" s="64" t="s">
        <v>26</v>
      </c>
      <c r="L82" s="64" t="s">
        <v>46</v>
      </c>
      <c r="M82" s="64" t="s">
        <v>26</v>
      </c>
      <c r="N82" s="63" t="s">
        <v>27</v>
      </c>
      <c r="O82" s="65" t="s">
        <v>28</v>
      </c>
      <c r="P82" s="63" t="s">
        <v>297</v>
      </c>
    </row>
    <row r="83" customFormat="false" ht="15" hidden="false" customHeight="false" outlineLevel="0" collapsed="false">
      <c r="A83" s="62" t="s">
        <v>298</v>
      </c>
      <c r="B83" s="63" t="s">
        <v>276</v>
      </c>
      <c r="C83" s="62" t="s">
        <v>299</v>
      </c>
      <c r="D83" s="63" t="s">
        <v>300</v>
      </c>
      <c r="E83" s="64" t="s">
        <v>78</v>
      </c>
      <c r="F83" s="64" t="s">
        <v>27</v>
      </c>
      <c r="G83" s="64" t="s">
        <v>27</v>
      </c>
      <c r="H83" s="64" t="s">
        <v>63</v>
      </c>
      <c r="I83" s="64" t="s">
        <v>27</v>
      </c>
      <c r="J83" s="64" t="s">
        <v>25</v>
      </c>
      <c r="K83" s="64" t="s">
        <v>26</v>
      </c>
      <c r="L83" s="64" t="s">
        <v>26</v>
      </c>
      <c r="M83" s="64" t="s">
        <v>26</v>
      </c>
      <c r="N83" s="63" t="s">
        <v>27</v>
      </c>
      <c r="O83" s="65" t="s">
        <v>28</v>
      </c>
      <c r="P83" s="63" t="s">
        <v>301</v>
      </c>
    </row>
    <row r="84" customFormat="false" ht="15" hidden="false" customHeight="false" outlineLevel="0" collapsed="false">
      <c r="A84" s="62" t="s">
        <v>302</v>
      </c>
      <c r="B84" s="63" t="s">
        <v>276</v>
      </c>
      <c r="C84" s="62" t="s">
        <v>303</v>
      </c>
      <c r="D84" s="63" t="s">
        <v>304</v>
      </c>
      <c r="E84" s="64" t="s">
        <v>78</v>
      </c>
      <c r="F84" s="64" t="s">
        <v>27</v>
      </c>
      <c r="G84" s="64" t="s">
        <v>27</v>
      </c>
      <c r="H84" s="64" t="s">
        <v>63</v>
      </c>
      <c r="I84" s="64" t="s">
        <v>27</v>
      </c>
      <c r="J84" s="64" t="s">
        <v>25</v>
      </c>
      <c r="K84" s="64" t="s">
        <v>26</v>
      </c>
      <c r="L84" s="64" t="s">
        <v>25</v>
      </c>
      <c r="M84" s="64" t="s">
        <v>26</v>
      </c>
      <c r="N84" s="63" t="s">
        <v>284</v>
      </c>
      <c r="O84" s="65" t="s">
        <v>28</v>
      </c>
      <c r="P84" s="63" t="s">
        <v>305</v>
      </c>
    </row>
    <row r="85" customFormat="false" ht="15" hidden="false" customHeight="false" outlineLevel="0" collapsed="false">
      <c r="A85" s="62" t="s">
        <v>306</v>
      </c>
      <c r="B85" s="63" t="s">
        <v>276</v>
      </c>
      <c r="C85" s="62" t="s">
        <v>307</v>
      </c>
      <c r="D85" s="63" t="s">
        <v>308</v>
      </c>
      <c r="E85" s="64" t="s">
        <v>78</v>
      </c>
      <c r="F85" s="64" t="s">
        <v>27</v>
      </c>
      <c r="G85" s="64" t="s">
        <v>27</v>
      </c>
      <c r="H85" s="64" t="s">
        <v>63</v>
      </c>
      <c r="I85" s="64" t="s">
        <v>27</v>
      </c>
      <c r="J85" s="64" t="s">
        <v>25</v>
      </c>
      <c r="K85" s="64" t="s">
        <v>26</v>
      </c>
      <c r="L85" s="64" t="s">
        <v>25</v>
      </c>
      <c r="M85" s="64" t="s">
        <v>26</v>
      </c>
      <c r="N85" s="63" t="s">
        <v>27</v>
      </c>
      <c r="O85" s="65" t="s">
        <v>28</v>
      </c>
      <c r="P85" s="63" t="s">
        <v>309</v>
      </c>
    </row>
    <row r="86" customFormat="false" ht="23.85" hidden="false" customHeight="false" outlineLevel="0" collapsed="false">
      <c r="A86" s="62" t="s">
        <v>310</v>
      </c>
      <c r="B86" s="63" t="s">
        <v>276</v>
      </c>
      <c r="C86" s="62" t="s">
        <v>311</v>
      </c>
      <c r="D86" s="63" t="s">
        <v>312</v>
      </c>
      <c r="E86" s="64" t="s">
        <v>78</v>
      </c>
      <c r="F86" s="64" t="s">
        <v>27</v>
      </c>
      <c r="G86" s="64" t="s">
        <v>27</v>
      </c>
      <c r="H86" s="64" t="s">
        <v>63</v>
      </c>
      <c r="I86" s="64" t="s">
        <v>27</v>
      </c>
      <c r="J86" s="64" t="s">
        <v>25</v>
      </c>
      <c r="K86" s="64" t="s">
        <v>26</v>
      </c>
      <c r="L86" s="64" t="s">
        <v>313</v>
      </c>
      <c r="M86" s="64" t="s">
        <v>26</v>
      </c>
      <c r="N86" s="63" t="s">
        <v>27</v>
      </c>
      <c r="O86" s="65" t="s">
        <v>28</v>
      </c>
      <c r="P86" s="63" t="s">
        <v>314</v>
      </c>
    </row>
    <row r="87" customFormat="false" ht="23.85" hidden="false" customHeight="false" outlineLevel="0" collapsed="false">
      <c r="A87" s="62" t="s">
        <v>315</v>
      </c>
      <c r="B87" s="63" t="s">
        <v>276</v>
      </c>
      <c r="C87" s="62" t="s">
        <v>316</v>
      </c>
      <c r="D87" s="63" t="s">
        <v>317</v>
      </c>
      <c r="E87" s="64" t="s">
        <v>78</v>
      </c>
      <c r="F87" s="64" t="s">
        <v>27</v>
      </c>
      <c r="G87" s="64" t="s">
        <v>27</v>
      </c>
      <c r="H87" s="64" t="s">
        <v>63</v>
      </c>
      <c r="I87" s="64" t="s">
        <v>27</v>
      </c>
      <c r="J87" s="64" t="s">
        <v>25</v>
      </c>
      <c r="K87" s="64" t="s">
        <v>26</v>
      </c>
      <c r="L87" s="64" t="s">
        <v>313</v>
      </c>
      <c r="M87" s="64" t="s">
        <v>26</v>
      </c>
      <c r="N87" s="63" t="s">
        <v>27</v>
      </c>
      <c r="O87" s="65" t="s">
        <v>28</v>
      </c>
      <c r="P87" s="63" t="s">
        <v>318</v>
      </c>
    </row>
    <row r="88" customFormat="false" ht="15" hidden="false" customHeight="false" outlineLevel="0" collapsed="false">
      <c r="A88" s="62" t="s">
        <v>319</v>
      </c>
      <c r="B88" s="63" t="s">
        <v>276</v>
      </c>
      <c r="C88" s="62" t="s">
        <v>320</v>
      </c>
      <c r="D88" s="63" t="s">
        <v>321</v>
      </c>
      <c r="E88" s="64" t="s">
        <v>53</v>
      </c>
      <c r="F88" s="64" t="s">
        <v>27</v>
      </c>
      <c r="G88" s="64" t="s">
        <v>27</v>
      </c>
      <c r="H88" s="64" t="s">
        <v>63</v>
      </c>
      <c r="I88" s="64" t="s">
        <v>27</v>
      </c>
      <c r="J88" s="64" t="s">
        <v>25</v>
      </c>
      <c r="K88" s="64" t="s">
        <v>26</v>
      </c>
      <c r="L88" s="64" t="s">
        <v>25</v>
      </c>
      <c r="M88" s="64" t="s">
        <v>25</v>
      </c>
      <c r="N88" s="63" t="s">
        <v>27</v>
      </c>
      <c r="O88" s="65" t="s">
        <v>28</v>
      </c>
      <c r="P88" s="63" t="s">
        <v>322</v>
      </c>
    </row>
    <row r="89" customFormat="false" ht="19.5" hidden="false" customHeight="true" outlineLevel="0" collapsed="false">
      <c r="A89" s="66" t="s">
        <v>323</v>
      </c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</row>
    <row r="90" customFormat="false" ht="15" hidden="false" customHeight="false" outlineLevel="0" collapsed="false">
      <c r="A90" s="67" t="s">
        <v>324</v>
      </c>
      <c r="B90" s="68" t="s">
        <v>325</v>
      </c>
      <c r="C90" s="67" t="s">
        <v>326</v>
      </c>
      <c r="D90" s="68" t="s">
        <v>327</v>
      </c>
      <c r="E90" s="69" t="s">
        <v>53</v>
      </c>
      <c r="F90" s="69" t="s">
        <v>27</v>
      </c>
      <c r="G90" s="69" t="s">
        <v>27</v>
      </c>
      <c r="H90" s="69" t="s">
        <v>63</v>
      </c>
      <c r="I90" s="69" t="s">
        <v>27</v>
      </c>
      <c r="J90" s="69" t="s">
        <v>25</v>
      </c>
      <c r="K90" s="69" t="s">
        <v>26</v>
      </c>
      <c r="L90" s="69" t="s">
        <v>25</v>
      </c>
      <c r="M90" s="69" t="s">
        <v>25</v>
      </c>
      <c r="N90" s="68" t="s">
        <v>27</v>
      </c>
      <c r="O90" s="70" t="s">
        <v>28</v>
      </c>
      <c r="P90" s="68" t="s">
        <v>202</v>
      </c>
    </row>
    <row r="91" customFormat="false" ht="15" hidden="false" customHeight="false" outlineLevel="0" collapsed="false">
      <c r="A91" s="67" t="s">
        <v>328</v>
      </c>
      <c r="B91" s="68" t="s">
        <v>325</v>
      </c>
      <c r="C91" s="67" t="s">
        <v>329</v>
      </c>
      <c r="D91" s="68" t="s">
        <v>330</v>
      </c>
      <c r="E91" s="69" t="s">
        <v>78</v>
      </c>
      <c r="F91" s="69" t="s">
        <v>27</v>
      </c>
      <c r="G91" s="69" t="s">
        <v>27</v>
      </c>
      <c r="H91" s="69" t="s">
        <v>63</v>
      </c>
      <c r="I91" s="69" t="s">
        <v>27</v>
      </c>
      <c r="J91" s="69" t="s">
        <v>25</v>
      </c>
      <c r="K91" s="69" t="s">
        <v>26</v>
      </c>
      <c r="L91" s="69" t="s">
        <v>25</v>
      </c>
      <c r="M91" s="69" t="s">
        <v>26</v>
      </c>
      <c r="N91" s="68" t="s">
        <v>27</v>
      </c>
      <c r="O91" s="70" t="s">
        <v>28</v>
      </c>
      <c r="P91" s="68" t="s">
        <v>202</v>
      </c>
    </row>
    <row r="92" customFormat="false" ht="15" hidden="false" customHeight="false" outlineLevel="0" collapsed="false">
      <c r="A92" s="67" t="s">
        <v>331</v>
      </c>
      <c r="B92" s="68" t="s">
        <v>325</v>
      </c>
      <c r="C92" s="67" t="s">
        <v>332</v>
      </c>
      <c r="D92" s="68" t="s">
        <v>333</v>
      </c>
      <c r="E92" s="69" t="s">
        <v>78</v>
      </c>
      <c r="F92" s="69" t="s">
        <v>27</v>
      </c>
      <c r="G92" s="69" t="s">
        <v>27</v>
      </c>
      <c r="H92" s="69" t="s">
        <v>63</v>
      </c>
      <c r="I92" s="69" t="s">
        <v>27</v>
      </c>
      <c r="J92" s="69" t="s">
        <v>25</v>
      </c>
      <c r="K92" s="69" t="s">
        <v>26</v>
      </c>
      <c r="L92" s="69" t="s">
        <v>25</v>
      </c>
      <c r="M92" s="69" t="s">
        <v>26</v>
      </c>
      <c r="N92" s="68" t="s">
        <v>27</v>
      </c>
      <c r="O92" s="70" t="s">
        <v>28</v>
      </c>
      <c r="P92" s="68" t="s">
        <v>202</v>
      </c>
    </row>
    <row r="93" customFormat="false" ht="15" hidden="false" customHeight="false" outlineLevel="0" collapsed="false">
      <c r="A93" s="67" t="s">
        <v>334</v>
      </c>
      <c r="B93" s="68" t="s">
        <v>325</v>
      </c>
      <c r="C93" s="67" t="s">
        <v>335</v>
      </c>
      <c r="D93" s="68" t="s">
        <v>336</v>
      </c>
      <c r="E93" s="69" t="s">
        <v>78</v>
      </c>
      <c r="F93" s="69" t="s">
        <v>27</v>
      </c>
      <c r="G93" s="69" t="s">
        <v>27</v>
      </c>
      <c r="H93" s="69" t="s">
        <v>63</v>
      </c>
      <c r="I93" s="69" t="s">
        <v>27</v>
      </c>
      <c r="J93" s="69" t="s">
        <v>25</v>
      </c>
      <c r="K93" s="69" t="s">
        <v>26</v>
      </c>
      <c r="L93" s="69" t="s">
        <v>25</v>
      </c>
      <c r="M93" s="69" t="s">
        <v>26</v>
      </c>
      <c r="N93" s="68" t="s">
        <v>27</v>
      </c>
      <c r="O93" s="70" t="s">
        <v>28</v>
      </c>
      <c r="P93" s="68" t="s">
        <v>337</v>
      </c>
    </row>
    <row r="94" customFormat="false" ht="15" hidden="false" customHeight="false" outlineLevel="0" collapsed="false">
      <c r="A94" s="67" t="s">
        <v>338</v>
      </c>
      <c r="B94" s="68" t="s">
        <v>325</v>
      </c>
      <c r="C94" s="67" t="s">
        <v>339</v>
      </c>
      <c r="D94" s="68" t="s">
        <v>340</v>
      </c>
      <c r="E94" s="69" t="s">
        <v>78</v>
      </c>
      <c r="F94" s="69" t="s">
        <v>27</v>
      </c>
      <c r="G94" s="69" t="s">
        <v>27</v>
      </c>
      <c r="H94" s="69" t="s">
        <v>63</v>
      </c>
      <c r="I94" s="69" t="s">
        <v>27</v>
      </c>
      <c r="J94" s="69" t="s">
        <v>25</v>
      </c>
      <c r="K94" s="69" t="s">
        <v>26</v>
      </c>
      <c r="L94" s="69" t="s">
        <v>25</v>
      </c>
      <c r="M94" s="69" t="s">
        <v>26</v>
      </c>
      <c r="N94" s="68" t="s">
        <v>27</v>
      </c>
      <c r="O94" s="71" t="s">
        <v>79</v>
      </c>
      <c r="P94" s="68" t="s">
        <v>341</v>
      </c>
    </row>
    <row r="95" customFormat="false" ht="15" hidden="false" customHeight="false" outlineLevel="0" collapsed="false">
      <c r="A95" s="67" t="s">
        <v>342</v>
      </c>
      <c r="B95" s="68" t="s">
        <v>325</v>
      </c>
      <c r="C95" s="67" t="s">
        <v>343</v>
      </c>
      <c r="D95" s="68" t="s">
        <v>344</v>
      </c>
      <c r="E95" s="69" t="s">
        <v>78</v>
      </c>
      <c r="F95" s="69" t="s">
        <v>27</v>
      </c>
      <c r="G95" s="69" t="s">
        <v>27</v>
      </c>
      <c r="H95" s="69" t="s">
        <v>63</v>
      </c>
      <c r="I95" s="69" t="s">
        <v>27</v>
      </c>
      <c r="J95" s="69" t="s">
        <v>25</v>
      </c>
      <c r="K95" s="69" t="s">
        <v>26</v>
      </c>
      <c r="L95" s="69" t="s">
        <v>25</v>
      </c>
      <c r="M95" s="69" t="s">
        <v>26</v>
      </c>
      <c r="N95" s="68" t="s">
        <v>27</v>
      </c>
      <c r="O95" s="71" t="s">
        <v>79</v>
      </c>
      <c r="P95" s="68" t="s">
        <v>341</v>
      </c>
    </row>
    <row r="96" customFormat="false" ht="15" hidden="false" customHeight="false" outlineLevel="0" collapsed="false">
      <c r="A96" s="67" t="s">
        <v>345</v>
      </c>
      <c r="B96" s="68" t="s">
        <v>325</v>
      </c>
      <c r="C96" s="67" t="s">
        <v>346</v>
      </c>
      <c r="D96" s="68" t="s">
        <v>347</v>
      </c>
      <c r="E96" s="69" t="s">
        <v>78</v>
      </c>
      <c r="F96" s="69" t="s">
        <v>27</v>
      </c>
      <c r="G96" s="69" t="s">
        <v>27</v>
      </c>
      <c r="H96" s="69" t="s">
        <v>63</v>
      </c>
      <c r="I96" s="69" t="s">
        <v>27</v>
      </c>
      <c r="J96" s="69" t="s">
        <v>25</v>
      </c>
      <c r="K96" s="69" t="s">
        <v>26</v>
      </c>
      <c r="L96" s="69" t="s">
        <v>25</v>
      </c>
      <c r="M96" s="69" t="s">
        <v>26</v>
      </c>
      <c r="N96" s="68" t="s">
        <v>27</v>
      </c>
      <c r="O96" s="70" t="s">
        <v>28</v>
      </c>
      <c r="P96" s="68" t="s">
        <v>202</v>
      </c>
    </row>
    <row r="97" customFormat="false" ht="15" hidden="false" customHeight="false" outlineLevel="0" collapsed="false">
      <c r="A97" s="67" t="s">
        <v>348</v>
      </c>
      <c r="B97" s="68" t="s">
        <v>325</v>
      </c>
      <c r="C97" s="67" t="s">
        <v>349</v>
      </c>
      <c r="D97" s="68" t="s">
        <v>350</v>
      </c>
      <c r="E97" s="69" t="s">
        <v>78</v>
      </c>
      <c r="F97" s="69" t="s">
        <v>27</v>
      </c>
      <c r="G97" s="69" t="s">
        <v>27</v>
      </c>
      <c r="H97" s="69" t="s">
        <v>63</v>
      </c>
      <c r="I97" s="69" t="s">
        <v>27</v>
      </c>
      <c r="J97" s="69" t="s">
        <v>25</v>
      </c>
      <c r="K97" s="69" t="s">
        <v>26</v>
      </c>
      <c r="L97" s="69" t="s">
        <v>25</v>
      </c>
      <c r="M97" s="69" t="s">
        <v>26</v>
      </c>
      <c r="N97" s="68" t="s">
        <v>27</v>
      </c>
      <c r="O97" s="70" t="s">
        <v>28</v>
      </c>
      <c r="P97" s="68" t="s">
        <v>202</v>
      </c>
    </row>
    <row r="98" customFormat="false" ht="15" hidden="false" customHeight="false" outlineLevel="0" collapsed="false">
      <c r="A98" s="67" t="s">
        <v>351</v>
      </c>
      <c r="B98" s="68" t="s">
        <v>325</v>
      </c>
      <c r="C98" s="67" t="s">
        <v>352</v>
      </c>
      <c r="D98" s="68" t="s">
        <v>353</v>
      </c>
      <c r="E98" s="69" t="s">
        <v>53</v>
      </c>
      <c r="F98" s="69" t="s">
        <v>27</v>
      </c>
      <c r="G98" s="69" t="s">
        <v>27</v>
      </c>
      <c r="H98" s="69" t="s">
        <v>63</v>
      </c>
      <c r="I98" s="69" t="s">
        <v>27</v>
      </c>
      <c r="J98" s="69" t="s">
        <v>25</v>
      </c>
      <c r="K98" s="69" t="s">
        <v>26</v>
      </c>
      <c r="L98" s="69" t="s">
        <v>25</v>
      </c>
      <c r="M98" s="69" t="s">
        <v>25</v>
      </c>
      <c r="N98" s="68" t="s">
        <v>27</v>
      </c>
      <c r="O98" s="70" t="s">
        <v>28</v>
      </c>
      <c r="P98" s="68" t="s">
        <v>354</v>
      </c>
    </row>
    <row r="99" customFormat="false" ht="19.5" hidden="false" customHeight="true" outlineLevel="0" collapsed="false">
      <c r="A99" s="72" t="s">
        <v>355</v>
      </c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</row>
    <row r="100" customFormat="false" ht="15" hidden="false" customHeight="false" outlineLevel="0" collapsed="false">
      <c r="A100" s="73" t="s">
        <v>356</v>
      </c>
      <c r="B100" s="74" t="s">
        <v>357</v>
      </c>
      <c r="C100" s="73" t="s">
        <v>358</v>
      </c>
      <c r="D100" s="74" t="s">
        <v>359</v>
      </c>
      <c r="E100" s="75" t="s">
        <v>53</v>
      </c>
      <c r="F100" s="75" t="s">
        <v>27</v>
      </c>
      <c r="G100" s="75" t="s">
        <v>27</v>
      </c>
      <c r="H100" s="75" t="s">
        <v>63</v>
      </c>
      <c r="I100" s="75" t="s">
        <v>27</v>
      </c>
      <c r="J100" s="75" t="s">
        <v>26</v>
      </c>
      <c r="K100" s="75" t="s">
        <v>25</v>
      </c>
      <c r="L100" s="75" t="s">
        <v>25</v>
      </c>
      <c r="M100" s="75" t="s">
        <v>25</v>
      </c>
      <c r="N100" s="74" t="s">
        <v>27</v>
      </c>
      <c r="O100" s="76" t="s">
        <v>28</v>
      </c>
      <c r="P100" s="74" t="s">
        <v>360</v>
      </c>
    </row>
    <row r="101" customFormat="false" ht="15" hidden="false" customHeight="false" outlineLevel="0" collapsed="false">
      <c r="A101" s="73" t="s">
        <v>361</v>
      </c>
      <c r="B101" s="74" t="s">
        <v>357</v>
      </c>
      <c r="C101" s="73" t="s">
        <v>362</v>
      </c>
      <c r="D101" s="74" t="s">
        <v>363</v>
      </c>
      <c r="E101" s="75" t="s">
        <v>78</v>
      </c>
      <c r="F101" s="75" t="s">
        <v>27</v>
      </c>
      <c r="G101" s="75" t="s">
        <v>27</v>
      </c>
      <c r="H101" s="75" t="s">
        <v>27</v>
      </c>
      <c r="I101" s="75" t="s">
        <v>27</v>
      </c>
      <c r="J101" s="75" t="s">
        <v>26</v>
      </c>
      <c r="K101" s="75" t="s">
        <v>25</v>
      </c>
      <c r="L101" s="75" t="s">
        <v>46</v>
      </c>
      <c r="M101" s="75" t="s">
        <v>26</v>
      </c>
      <c r="N101" s="74" t="s">
        <v>27</v>
      </c>
      <c r="O101" s="77" t="s">
        <v>46</v>
      </c>
      <c r="P101" s="74" t="s">
        <v>47</v>
      </c>
    </row>
    <row r="102" customFormat="false" ht="19.5" hidden="false" customHeight="true" outlineLevel="0" collapsed="false">
      <c r="A102" s="78" t="s">
        <v>364</v>
      </c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</row>
    <row r="103" customFormat="false" ht="15" hidden="false" customHeight="false" outlineLevel="0" collapsed="false">
      <c r="A103" s="79" t="s">
        <v>365</v>
      </c>
      <c r="B103" s="80" t="s">
        <v>366</v>
      </c>
      <c r="C103" s="79" t="s">
        <v>367</v>
      </c>
      <c r="D103" s="80" t="s">
        <v>368</v>
      </c>
      <c r="E103" s="81" t="s">
        <v>78</v>
      </c>
      <c r="F103" s="81" t="s">
        <v>27</v>
      </c>
      <c r="G103" s="81" t="s">
        <v>27</v>
      </c>
      <c r="H103" s="81" t="s">
        <v>63</v>
      </c>
      <c r="I103" s="81" t="s">
        <v>27</v>
      </c>
      <c r="J103" s="81" t="s">
        <v>26</v>
      </c>
      <c r="K103" s="81" t="s">
        <v>46</v>
      </c>
      <c r="L103" s="81" t="s">
        <v>46</v>
      </c>
      <c r="M103" s="81" t="s">
        <v>26</v>
      </c>
      <c r="N103" s="80" t="s">
        <v>27</v>
      </c>
      <c r="O103" s="82" t="s">
        <v>28</v>
      </c>
      <c r="P103" s="80" t="s">
        <v>369</v>
      </c>
    </row>
    <row r="104" customFormat="false" ht="15" hidden="false" customHeight="false" outlineLevel="0" collapsed="false">
      <c r="A104" s="79" t="s">
        <v>370</v>
      </c>
      <c r="B104" s="80" t="s">
        <v>366</v>
      </c>
      <c r="C104" s="79" t="s">
        <v>371</v>
      </c>
      <c r="D104" s="80" t="s">
        <v>372</v>
      </c>
      <c r="E104" s="81" t="s">
        <v>53</v>
      </c>
      <c r="F104" s="81" t="s">
        <v>27</v>
      </c>
      <c r="G104" s="81" t="s">
        <v>27</v>
      </c>
      <c r="H104" s="81" t="s">
        <v>63</v>
      </c>
      <c r="I104" s="81" t="s">
        <v>27</v>
      </c>
      <c r="J104" s="81" t="s">
        <v>25</v>
      </c>
      <c r="K104" s="81" t="s">
        <v>25</v>
      </c>
      <c r="L104" s="81" t="s">
        <v>25</v>
      </c>
      <c r="M104" s="81" t="s">
        <v>25</v>
      </c>
      <c r="N104" s="80" t="s">
        <v>27</v>
      </c>
      <c r="O104" s="82" t="s">
        <v>28</v>
      </c>
      <c r="P104" s="80" t="s">
        <v>373</v>
      </c>
    </row>
  </sheetData>
  <autoFilter ref="A4:P104"/>
  <mergeCells count="15">
    <mergeCell ref="A2:P2"/>
    <mergeCell ref="A5:P5"/>
    <mergeCell ref="A11:P11"/>
    <mergeCell ref="A16:P16"/>
    <mergeCell ref="A37:P37"/>
    <mergeCell ref="A42:P42"/>
    <mergeCell ref="A50:P50"/>
    <mergeCell ref="A59:P59"/>
    <mergeCell ref="A64:P64"/>
    <mergeCell ref="A69:P69"/>
    <mergeCell ref="A72:P72"/>
    <mergeCell ref="A77:P77"/>
    <mergeCell ref="A89:P89"/>
    <mergeCell ref="A99:P99"/>
    <mergeCell ref="A102:P102"/>
  </mergeCells>
  <dataValidations count="2">
    <dataValidation allowBlank="true" errorStyle="stop" operator="between" showDropDown="false" showErrorMessage="false" showInputMessage="false" sqref="F5:I104" type="list">
      <formula1>"Own,Assigned,Clinic,—"</formula1>
      <formula2>0</formula2>
    </dataValidation>
    <dataValidation allowBlank="true" errorStyle="stop" operator="between" showDropDown="false" showErrorMessage="false" showInputMessage="false" sqref="O5:O104" type="list">
      <formula1>"Agreed,Pending,Proposed"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7" min="6" style="0" width="18"/>
  </cols>
  <sheetData>
    <row r="1" customFormat="false" ht="17.35" hidden="false" customHeight="false" outlineLevel="0" collapsed="false">
      <c r="A1" s="1" t="s">
        <v>374</v>
      </c>
    </row>
    <row r="2" customFormat="false" ht="15" hidden="false" customHeight="false" outlineLevel="0" collapsed="false">
      <c r="A2" s="83" t="s">
        <v>375</v>
      </c>
    </row>
    <row r="4" customFormat="false" ht="28.35" hidden="false" customHeight="false" outlineLevel="0" collapsed="false">
      <c r="A4" s="84" t="s">
        <v>3</v>
      </c>
      <c r="B4" s="84" t="s">
        <v>376</v>
      </c>
      <c r="C4" s="84" t="s">
        <v>7</v>
      </c>
      <c r="D4" s="84" t="s">
        <v>8</v>
      </c>
      <c r="E4" s="84" t="s">
        <v>9</v>
      </c>
      <c r="F4" s="84" t="s">
        <v>10</v>
      </c>
      <c r="G4" s="84" t="s">
        <v>377</v>
      </c>
    </row>
    <row r="5" customFormat="false" ht="15" hidden="false" customHeight="false" outlineLevel="0" collapsed="false">
      <c r="A5" s="85" t="s">
        <v>20</v>
      </c>
      <c r="B5" s="86" t="n">
        <f aca="false">COUNTIF(Permissions!$B$5:$B$500,$A5)</f>
        <v>5</v>
      </c>
      <c r="C5" s="86" t="n">
        <f aca="false">COUNTIFS(Permissions!$B$5:$B$500,$A5,Permissions!$F$5:$F$500,"&lt;&gt;—")</f>
        <v>5</v>
      </c>
      <c r="D5" s="86" t="n">
        <f aca="false">COUNTIFS(Permissions!$B$5:$B$500,$A5,Permissions!$G$5:$G$500,"&lt;&gt;—")</f>
        <v>5</v>
      </c>
      <c r="E5" s="86" t="n">
        <f aca="false">COUNTIFS(Permissions!$B$5:$B$500,$A5,Permissions!$H$5:$H$500,"&lt;&gt;—")</f>
        <v>5</v>
      </c>
      <c r="F5" s="86" t="n">
        <f aca="false">COUNTIFS(Permissions!$B$5:$B$500,$A5,Permissions!$I$5:$I$500,"&lt;&gt;—")</f>
        <v>5</v>
      </c>
      <c r="G5" s="86" t="str">
        <f aca="false">IF(COUNTIFS(Permissions!$B$5:$B$500,$A5,Permissions!$K$5:$K$500,"Yes")&gt;0,"Yes","No")</f>
        <v>No</v>
      </c>
    </row>
    <row r="6" customFormat="false" ht="15" hidden="false" customHeight="false" outlineLevel="0" collapsed="false">
      <c r="A6" s="87" t="s">
        <v>50</v>
      </c>
      <c r="B6" s="88" t="n">
        <f aca="false">COUNTIF(Permissions!$B$5:$B$500,$A6)</f>
        <v>4</v>
      </c>
      <c r="C6" s="88" t="n">
        <f aca="false">COUNTIFS(Permissions!$B$5:$B$500,$A6,Permissions!$F$5:$F$500,"&lt;&gt;—")</f>
        <v>2</v>
      </c>
      <c r="D6" s="88" t="n">
        <f aca="false">COUNTIFS(Permissions!$B$5:$B$500,$A6,Permissions!$G$5:$G$500,"&lt;&gt;—")</f>
        <v>2</v>
      </c>
      <c r="E6" s="88" t="n">
        <f aca="false">COUNTIFS(Permissions!$B$5:$B$500,$A6,Permissions!$H$5:$H$500,"&lt;&gt;—")</f>
        <v>1</v>
      </c>
      <c r="F6" s="88" t="n">
        <f aca="false">COUNTIFS(Permissions!$B$5:$B$500,$A6,Permissions!$I$5:$I$500,"&lt;&gt;—")</f>
        <v>0</v>
      </c>
      <c r="G6" s="88" t="str">
        <f aca="false">IF(COUNTIFS(Permissions!$B$5:$B$500,$A6,Permissions!$K$5:$K$500,"Yes")&gt;0,"Yes","No")</f>
        <v>No</v>
      </c>
    </row>
    <row r="7" customFormat="false" ht="15" hidden="false" customHeight="false" outlineLevel="0" collapsed="false">
      <c r="A7" s="89" t="s">
        <v>71</v>
      </c>
      <c r="B7" s="90" t="n">
        <f aca="false">COUNTIF(Permissions!$B$5:$B$500,$A7)</f>
        <v>20</v>
      </c>
      <c r="C7" s="90" t="n">
        <f aca="false">COUNTIFS(Permissions!$B$5:$B$500,$A7,Permissions!$F$5:$F$500,"&lt;&gt;—")</f>
        <v>15</v>
      </c>
      <c r="D7" s="90" t="n">
        <f aca="false">COUNTIFS(Permissions!$B$5:$B$500,$A7,Permissions!$G$5:$G$500,"&lt;&gt;—")</f>
        <v>7</v>
      </c>
      <c r="E7" s="90" t="n">
        <f aca="false">COUNTIFS(Permissions!$B$5:$B$500,$A7,Permissions!$H$5:$H$500,"&lt;&gt;—")</f>
        <v>5</v>
      </c>
      <c r="F7" s="90" t="n">
        <f aca="false">COUNTIFS(Permissions!$B$5:$B$500,$A7,Permissions!$I$5:$I$500,"&lt;&gt;—")</f>
        <v>5</v>
      </c>
      <c r="G7" s="90" t="str">
        <f aca="false">IF(COUNTIFS(Permissions!$B$5:$B$500,$A7,Permissions!$K$5:$K$500,"Yes")&gt;0,"Yes","No")</f>
        <v>No</v>
      </c>
    </row>
    <row r="8" customFormat="false" ht="15" hidden="false" customHeight="false" outlineLevel="0" collapsed="false">
      <c r="A8" s="91" t="s">
        <v>151</v>
      </c>
      <c r="B8" s="92" t="n">
        <f aca="false">COUNTIF(Permissions!$B$5:$B$500,$A8)</f>
        <v>4</v>
      </c>
      <c r="C8" s="92" t="n">
        <f aca="false">COUNTIFS(Permissions!$B$5:$B$500,$A8,Permissions!$F$5:$F$500,"&lt;&gt;—")</f>
        <v>4</v>
      </c>
      <c r="D8" s="92" t="n">
        <f aca="false">COUNTIFS(Permissions!$B$5:$B$500,$A8,Permissions!$G$5:$G$500,"&lt;&gt;—")</f>
        <v>1</v>
      </c>
      <c r="E8" s="92" t="n">
        <f aca="false">COUNTIFS(Permissions!$B$5:$B$500,$A8,Permissions!$H$5:$H$500,"&lt;&gt;—")</f>
        <v>0</v>
      </c>
      <c r="F8" s="92" t="n">
        <f aca="false">COUNTIFS(Permissions!$B$5:$B$500,$A8,Permissions!$I$5:$I$500,"&lt;&gt;—")</f>
        <v>0</v>
      </c>
      <c r="G8" s="92" t="str">
        <f aca="false">IF(COUNTIFS(Permissions!$B$5:$B$500,$A8,Permissions!$K$5:$K$500,"Yes")&gt;0,"Yes","No")</f>
        <v>No</v>
      </c>
    </row>
    <row r="9" customFormat="false" ht="15" hidden="false" customHeight="false" outlineLevel="0" collapsed="false">
      <c r="A9" s="93" t="s">
        <v>166</v>
      </c>
      <c r="B9" s="94" t="n">
        <f aca="false">COUNTIF(Permissions!$B$5:$B$500,$A9)</f>
        <v>7</v>
      </c>
      <c r="C9" s="94" t="n">
        <f aca="false">COUNTIFS(Permissions!$B$5:$B$500,$A9,Permissions!$F$5:$F$500,"&lt;&gt;—")</f>
        <v>1</v>
      </c>
      <c r="D9" s="94" t="n">
        <f aca="false">COUNTIFS(Permissions!$B$5:$B$500,$A9,Permissions!$G$5:$G$500,"&lt;&gt;—")</f>
        <v>6</v>
      </c>
      <c r="E9" s="94" t="n">
        <f aca="false">COUNTIFS(Permissions!$B$5:$B$500,$A9,Permissions!$H$5:$H$500,"&lt;&gt;—")</f>
        <v>0</v>
      </c>
      <c r="F9" s="94" t="n">
        <f aca="false">COUNTIFS(Permissions!$B$5:$B$500,$A9,Permissions!$I$5:$I$500,"&lt;&gt;—")</f>
        <v>0</v>
      </c>
      <c r="G9" s="94" t="str">
        <f aca="false">IF(COUNTIFS(Permissions!$B$5:$B$500,$A9,Permissions!$K$5:$K$500,"Yes")&gt;0,"Yes","No")</f>
        <v>No</v>
      </c>
    </row>
    <row r="10" customFormat="false" ht="15" hidden="false" customHeight="false" outlineLevel="0" collapsed="false">
      <c r="A10" s="95" t="s">
        <v>191</v>
      </c>
      <c r="B10" s="96" t="n">
        <f aca="false">COUNTIF(Permissions!$B$5:$B$500,$A10)</f>
        <v>8</v>
      </c>
      <c r="C10" s="96" t="n">
        <f aca="false">COUNTIFS(Permissions!$B$5:$B$500,$A10,Permissions!$F$5:$F$500,"&lt;&gt;—")</f>
        <v>1</v>
      </c>
      <c r="D10" s="96" t="n">
        <f aca="false">COUNTIFS(Permissions!$B$5:$B$500,$A10,Permissions!$G$5:$G$500,"&lt;&gt;—")</f>
        <v>2</v>
      </c>
      <c r="E10" s="96" t="n">
        <f aca="false">COUNTIFS(Permissions!$B$5:$B$500,$A10,Permissions!$H$5:$H$500,"&lt;&gt;—")</f>
        <v>8</v>
      </c>
      <c r="F10" s="96" t="n">
        <f aca="false">COUNTIFS(Permissions!$B$5:$B$500,$A10,Permissions!$I$5:$I$500,"&lt;&gt;—")</f>
        <v>1</v>
      </c>
      <c r="G10" s="96" t="str">
        <f aca="false">IF(COUNTIFS(Permissions!$B$5:$B$500,$A10,Permissions!$K$5:$K$500,"Yes")&gt;0,"Yes","No")</f>
        <v>No</v>
      </c>
    </row>
    <row r="11" customFormat="false" ht="15" hidden="false" customHeight="false" outlineLevel="0" collapsed="false">
      <c r="A11" s="97" t="s">
        <v>221</v>
      </c>
      <c r="B11" s="98" t="n">
        <f aca="false">COUNTIF(Permissions!$B$5:$B$500,$A11)</f>
        <v>4</v>
      </c>
      <c r="C11" s="98" t="n">
        <f aca="false">COUNTIFS(Permissions!$B$5:$B$500,$A11,Permissions!$F$5:$F$500,"&lt;&gt;—")</f>
        <v>2</v>
      </c>
      <c r="D11" s="98" t="n">
        <f aca="false">COUNTIFS(Permissions!$B$5:$B$500,$A11,Permissions!$G$5:$G$500,"&lt;&gt;—")</f>
        <v>4</v>
      </c>
      <c r="E11" s="98" t="n">
        <f aca="false">COUNTIFS(Permissions!$B$5:$B$500,$A11,Permissions!$H$5:$H$500,"&lt;&gt;—")</f>
        <v>1</v>
      </c>
      <c r="F11" s="98" t="n">
        <f aca="false">COUNTIFS(Permissions!$B$5:$B$500,$A11,Permissions!$I$5:$I$500,"&lt;&gt;—")</f>
        <v>0</v>
      </c>
      <c r="G11" s="98" t="str">
        <f aca="false">IF(COUNTIFS(Permissions!$B$5:$B$500,$A11,Permissions!$K$5:$K$500,"Yes")&gt;0,"Yes","No")</f>
        <v>No</v>
      </c>
    </row>
    <row r="12" customFormat="false" ht="15" hidden="false" customHeight="false" outlineLevel="0" collapsed="false">
      <c r="A12" s="99" t="s">
        <v>237</v>
      </c>
      <c r="B12" s="100" t="n">
        <f aca="false">COUNTIF(Permissions!$B$5:$B$500,$A12)</f>
        <v>4</v>
      </c>
      <c r="C12" s="100" t="n">
        <f aca="false">COUNTIFS(Permissions!$B$5:$B$500,$A12,Permissions!$F$5:$F$500,"&lt;&gt;—")</f>
        <v>4</v>
      </c>
      <c r="D12" s="100" t="n">
        <f aca="false">COUNTIFS(Permissions!$B$5:$B$500,$A12,Permissions!$G$5:$G$500,"&lt;&gt;—")</f>
        <v>1</v>
      </c>
      <c r="E12" s="100" t="n">
        <f aca="false">COUNTIFS(Permissions!$B$5:$B$500,$A12,Permissions!$H$5:$H$500,"&lt;&gt;—")</f>
        <v>4</v>
      </c>
      <c r="F12" s="100" t="n">
        <f aca="false">COUNTIFS(Permissions!$B$5:$B$500,$A12,Permissions!$I$5:$I$500,"&lt;&gt;—")</f>
        <v>0</v>
      </c>
      <c r="G12" s="100" t="str">
        <f aca="false">IF(COUNTIFS(Permissions!$B$5:$B$500,$A12,Permissions!$K$5:$K$500,"Yes")&gt;0,"Yes","No")</f>
        <v>No</v>
      </c>
    </row>
    <row r="13" customFormat="false" ht="15" hidden="false" customHeight="false" outlineLevel="0" collapsed="false">
      <c r="A13" s="101" t="s">
        <v>253</v>
      </c>
      <c r="B13" s="102" t="n">
        <f aca="false">COUNTIF(Permissions!$B$5:$B$500,$A13)</f>
        <v>2</v>
      </c>
      <c r="C13" s="102" t="n">
        <f aca="false">COUNTIFS(Permissions!$B$5:$B$500,$A13,Permissions!$F$5:$F$500,"&lt;&gt;—")</f>
        <v>1</v>
      </c>
      <c r="D13" s="102" t="n">
        <f aca="false">COUNTIFS(Permissions!$B$5:$B$500,$A13,Permissions!$G$5:$G$500,"&lt;&gt;—")</f>
        <v>0</v>
      </c>
      <c r="E13" s="102" t="n">
        <f aca="false">COUNTIFS(Permissions!$B$5:$B$500,$A13,Permissions!$H$5:$H$500,"&lt;&gt;—")</f>
        <v>2</v>
      </c>
      <c r="F13" s="102" t="n">
        <f aca="false">COUNTIFS(Permissions!$B$5:$B$500,$A13,Permissions!$I$5:$I$500,"&lt;&gt;—")</f>
        <v>0</v>
      </c>
      <c r="G13" s="102" t="str">
        <f aca="false">IF(COUNTIFS(Permissions!$B$5:$B$500,$A13,Permissions!$K$5:$K$500,"Yes")&gt;0,"Yes","No")</f>
        <v>No</v>
      </c>
    </row>
    <row r="14" customFormat="false" ht="15" hidden="false" customHeight="false" outlineLevel="0" collapsed="false">
      <c r="A14" s="103" t="s">
        <v>261</v>
      </c>
      <c r="B14" s="104" t="n">
        <f aca="false">COUNTIF(Permissions!$B$5:$B$500,$A14)</f>
        <v>4</v>
      </c>
      <c r="C14" s="104" t="n">
        <f aca="false">COUNTIFS(Permissions!$B$5:$B$500,$A14,Permissions!$F$5:$F$500,"&lt;&gt;—")</f>
        <v>0</v>
      </c>
      <c r="D14" s="104" t="n">
        <f aca="false">COUNTIFS(Permissions!$B$5:$B$500,$A14,Permissions!$G$5:$G$500,"&lt;&gt;—")</f>
        <v>2</v>
      </c>
      <c r="E14" s="104" t="n">
        <f aca="false">COUNTIFS(Permissions!$B$5:$B$500,$A14,Permissions!$H$5:$H$500,"&lt;&gt;—")</f>
        <v>1</v>
      </c>
      <c r="F14" s="104" t="n">
        <f aca="false">COUNTIFS(Permissions!$B$5:$B$500,$A14,Permissions!$I$5:$I$500,"&lt;&gt;—")</f>
        <v>0</v>
      </c>
      <c r="G14" s="104" t="str">
        <f aca="false">IF(COUNTIFS(Permissions!$B$5:$B$500,$A14,Permissions!$K$5:$K$500,"Yes")&gt;0,"Yes","No")</f>
        <v>No</v>
      </c>
    </row>
    <row r="15" customFormat="false" ht="15" hidden="false" customHeight="false" outlineLevel="0" collapsed="false">
      <c r="A15" s="105" t="s">
        <v>276</v>
      </c>
      <c r="B15" s="106" t="n">
        <f aca="false">COUNTIF(Permissions!$B$5:$B$500,$A15)</f>
        <v>11</v>
      </c>
      <c r="C15" s="106" t="n">
        <f aca="false">COUNTIFS(Permissions!$B$5:$B$500,$A15,Permissions!$F$5:$F$500,"&lt;&gt;—")</f>
        <v>0</v>
      </c>
      <c r="D15" s="106" t="n">
        <f aca="false">COUNTIFS(Permissions!$B$5:$B$500,$A15,Permissions!$G$5:$G$500,"&lt;&gt;—")</f>
        <v>0</v>
      </c>
      <c r="E15" s="106" t="n">
        <f aca="false">COUNTIFS(Permissions!$B$5:$B$500,$A15,Permissions!$H$5:$H$500,"&lt;&gt;—")</f>
        <v>11</v>
      </c>
      <c r="F15" s="106" t="n">
        <f aca="false">COUNTIFS(Permissions!$B$5:$B$500,$A15,Permissions!$I$5:$I$500,"&lt;&gt;—")</f>
        <v>0</v>
      </c>
      <c r="G15" s="106" t="str">
        <f aca="false">IF(COUNTIFS(Permissions!$B$5:$B$500,$A15,Permissions!$K$5:$K$500,"Yes")&gt;0,"Yes","No")</f>
        <v>Yes</v>
      </c>
    </row>
    <row r="16" customFormat="false" ht="15" hidden="false" customHeight="false" outlineLevel="0" collapsed="false">
      <c r="A16" s="107" t="s">
        <v>325</v>
      </c>
      <c r="B16" s="108" t="n">
        <f aca="false">COUNTIF(Permissions!$B$5:$B$500,$A16)</f>
        <v>9</v>
      </c>
      <c r="C16" s="108" t="n">
        <f aca="false">COUNTIFS(Permissions!$B$5:$B$500,$A16,Permissions!$F$5:$F$500,"&lt;&gt;—")</f>
        <v>0</v>
      </c>
      <c r="D16" s="108" t="n">
        <f aca="false">COUNTIFS(Permissions!$B$5:$B$500,$A16,Permissions!$G$5:$G$500,"&lt;&gt;—")</f>
        <v>0</v>
      </c>
      <c r="E16" s="108" t="n">
        <f aca="false">COUNTIFS(Permissions!$B$5:$B$500,$A16,Permissions!$H$5:$H$500,"&lt;&gt;—")</f>
        <v>9</v>
      </c>
      <c r="F16" s="108" t="n">
        <f aca="false">COUNTIFS(Permissions!$B$5:$B$500,$A16,Permissions!$I$5:$I$500,"&lt;&gt;—")</f>
        <v>0</v>
      </c>
      <c r="G16" s="108" t="str">
        <f aca="false">IF(COUNTIFS(Permissions!$B$5:$B$500,$A16,Permissions!$K$5:$K$500,"Yes")&gt;0,"Yes","No")</f>
        <v>Yes</v>
      </c>
    </row>
    <row r="17" customFormat="false" ht="15" hidden="false" customHeight="false" outlineLevel="0" collapsed="false">
      <c r="A17" s="109" t="s">
        <v>357</v>
      </c>
      <c r="B17" s="110" t="n">
        <f aca="false">COUNTIF(Permissions!$B$5:$B$500,$A17)</f>
        <v>2</v>
      </c>
      <c r="C17" s="110" t="n">
        <f aca="false">COUNTIFS(Permissions!$B$5:$B$500,$A17,Permissions!$F$5:$F$500,"&lt;&gt;—")</f>
        <v>0</v>
      </c>
      <c r="D17" s="110" t="n">
        <f aca="false">COUNTIFS(Permissions!$B$5:$B$500,$A17,Permissions!$G$5:$G$500,"&lt;&gt;—")</f>
        <v>0</v>
      </c>
      <c r="E17" s="110" t="n">
        <f aca="false">COUNTIFS(Permissions!$B$5:$B$500,$A17,Permissions!$H$5:$H$500,"&lt;&gt;—")</f>
        <v>1</v>
      </c>
      <c r="F17" s="110" t="n">
        <f aca="false">COUNTIFS(Permissions!$B$5:$B$500,$A17,Permissions!$I$5:$I$500,"&lt;&gt;—")</f>
        <v>0</v>
      </c>
      <c r="G17" s="110" t="str">
        <f aca="false">IF(COUNTIFS(Permissions!$B$5:$B$500,$A17,Permissions!$K$5:$K$500,"Yes")&gt;0,"Yes","No")</f>
        <v>No</v>
      </c>
    </row>
    <row r="18" customFormat="false" ht="15" hidden="false" customHeight="false" outlineLevel="0" collapsed="false">
      <c r="A18" s="111" t="s">
        <v>366</v>
      </c>
      <c r="B18" s="112" t="n">
        <f aca="false">COUNTIF(Permissions!$B$5:$B$500,$A18)</f>
        <v>2</v>
      </c>
      <c r="C18" s="112" t="n">
        <f aca="false">COUNTIFS(Permissions!$B$5:$B$500,$A18,Permissions!$F$5:$F$500,"&lt;&gt;—")</f>
        <v>0</v>
      </c>
      <c r="D18" s="112" t="n">
        <f aca="false">COUNTIFS(Permissions!$B$5:$B$500,$A18,Permissions!$G$5:$G$500,"&lt;&gt;—")</f>
        <v>0</v>
      </c>
      <c r="E18" s="112" t="n">
        <f aca="false">COUNTIFS(Permissions!$B$5:$B$500,$A18,Permissions!$H$5:$H$500,"&lt;&gt;—")</f>
        <v>2</v>
      </c>
      <c r="F18" s="112" t="n">
        <f aca="false">COUNTIFS(Permissions!$B$5:$B$500,$A18,Permissions!$I$5:$I$500,"&lt;&gt;—")</f>
        <v>0</v>
      </c>
      <c r="G18" s="112" t="str">
        <f aca="false">IF(COUNTIFS(Permissions!$B$5:$B$500,$A18,Permissions!$K$5:$K$500,"Yes")&gt;0,"Yes","No")</f>
        <v>No</v>
      </c>
    </row>
    <row r="19" customFormat="false" ht="15" hidden="false" customHeight="false" outlineLevel="0" collapsed="false">
      <c r="A19" s="113" t="s">
        <v>378</v>
      </c>
      <c r="B19" s="114" t="n">
        <f aca="false">SUM(B5:B18)</f>
        <v>86</v>
      </c>
      <c r="C19" s="114" t="n">
        <f aca="false">SUM(C5:C18)</f>
        <v>35</v>
      </c>
      <c r="D19" s="114" t="n">
        <f aca="false">SUM(D5:D18)</f>
        <v>30</v>
      </c>
      <c r="E19" s="114" t="n">
        <f aca="false">SUM(E5:E18)</f>
        <v>50</v>
      </c>
      <c r="F19" s="114" t="n">
        <f aca="false">SUM(F5:F18)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30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379</v>
      </c>
    </row>
    <row r="2" customFormat="false" ht="15" hidden="false" customHeight="false" outlineLevel="0" collapsed="false">
      <c r="A2" s="83" t="s">
        <v>380</v>
      </c>
    </row>
    <row r="4" customFormat="false" ht="15" hidden="false" customHeight="false" outlineLevel="0" collapsed="false">
      <c r="A4" s="115" t="s">
        <v>381</v>
      </c>
      <c r="B4" s="115" t="s">
        <v>382</v>
      </c>
      <c r="C4" s="115" t="s">
        <v>383</v>
      </c>
      <c r="D4" s="115" t="s">
        <v>384</v>
      </c>
    </row>
    <row r="5" customFormat="false" ht="15" hidden="false" customHeight="false" outlineLevel="0" collapsed="false">
      <c r="A5" s="116" t="n">
        <v>1</v>
      </c>
      <c r="B5" s="116" t="s">
        <v>385</v>
      </c>
      <c r="C5" s="116" t="s">
        <v>386</v>
      </c>
      <c r="D5" s="116" t="s">
        <v>387</v>
      </c>
    </row>
    <row r="6" customFormat="false" ht="15" hidden="false" customHeight="false" outlineLevel="0" collapsed="false">
      <c r="A6" s="116" t="n">
        <v>2</v>
      </c>
      <c r="B6" s="116" t="s">
        <v>388</v>
      </c>
      <c r="C6" s="116" t="s">
        <v>228</v>
      </c>
      <c r="D6" s="116" t="s">
        <v>389</v>
      </c>
    </row>
    <row r="7" customFormat="false" ht="15" hidden="false" customHeight="false" outlineLevel="0" collapsed="false">
      <c r="A7" s="116" t="n">
        <v>3</v>
      </c>
      <c r="B7" s="116" t="s">
        <v>390</v>
      </c>
      <c r="C7" s="116" t="s">
        <v>182</v>
      </c>
      <c r="D7" s="116" t="s">
        <v>391</v>
      </c>
    </row>
    <row r="8" customFormat="false" ht="15" hidden="false" customHeight="false" outlineLevel="0" collapsed="false">
      <c r="A8" s="116" t="n">
        <v>4</v>
      </c>
      <c r="B8" s="116" t="s">
        <v>392</v>
      </c>
      <c r="C8" s="116" t="s">
        <v>393</v>
      </c>
      <c r="D8" s="116" t="s">
        <v>394</v>
      </c>
    </row>
    <row r="9" customFormat="false" ht="26.85" hidden="false" customHeight="false" outlineLevel="0" collapsed="false">
      <c r="A9" s="116" t="n">
        <v>5</v>
      </c>
      <c r="B9" s="116" t="s">
        <v>395</v>
      </c>
      <c r="C9" s="116" t="s">
        <v>396</v>
      </c>
      <c r="D9" s="116" t="s">
        <v>397</v>
      </c>
    </row>
    <row r="10" customFormat="false" ht="15" hidden="false" customHeight="false" outlineLevel="0" collapsed="false">
      <c r="A10" s="116" t="n">
        <v>6</v>
      </c>
      <c r="B10" s="116" t="s">
        <v>398</v>
      </c>
      <c r="C10" s="116" t="s">
        <v>146</v>
      </c>
      <c r="D10" s="116" t="s">
        <v>399</v>
      </c>
    </row>
    <row r="11" customFormat="false" ht="15" hidden="false" customHeight="false" outlineLevel="0" collapsed="false">
      <c r="A11" s="116" t="n">
        <v>7</v>
      </c>
      <c r="B11" s="116" t="s">
        <v>400</v>
      </c>
      <c r="C11" s="116" t="s">
        <v>401</v>
      </c>
      <c r="D11" s="116" t="s">
        <v>402</v>
      </c>
    </row>
    <row r="12" customFormat="false" ht="26.85" hidden="false" customHeight="false" outlineLevel="0" collapsed="false">
      <c r="A12" s="116" t="n">
        <v>8</v>
      </c>
      <c r="B12" s="116" t="s">
        <v>403</v>
      </c>
      <c r="C12" s="116" t="s">
        <v>404</v>
      </c>
      <c r="D12" s="116" t="s">
        <v>405</v>
      </c>
    </row>
    <row r="13" customFormat="false" ht="15" hidden="false" customHeight="false" outlineLevel="0" collapsed="false">
      <c r="A13" s="116" t="n">
        <v>9</v>
      </c>
      <c r="B13" s="116" t="s">
        <v>406</v>
      </c>
      <c r="C13" s="116" t="s">
        <v>365</v>
      </c>
      <c r="D13" s="116" t="s">
        <v>26</v>
      </c>
    </row>
    <row r="14" customFormat="false" ht="26.85" hidden="false" customHeight="false" outlineLevel="0" collapsed="false">
      <c r="A14" s="116" t="n">
        <v>10</v>
      </c>
      <c r="B14" s="116" t="s">
        <v>407</v>
      </c>
      <c r="C14" s="116" t="s">
        <v>408</v>
      </c>
      <c r="D14" s="116" t="s">
        <v>409</v>
      </c>
    </row>
    <row r="15" customFormat="false" ht="52.2" hidden="false" customHeight="false" outlineLevel="0" collapsed="false">
      <c r="A15" s="116" t="n">
        <v>11</v>
      </c>
      <c r="B15" s="116" t="s">
        <v>410</v>
      </c>
      <c r="C15" s="116" t="s">
        <v>411</v>
      </c>
      <c r="D15" s="116" t="s">
        <v>412</v>
      </c>
    </row>
    <row r="16" customFormat="false" ht="39.55" hidden="false" customHeight="false" outlineLevel="0" collapsed="false">
      <c r="A16" s="116" t="n">
        <v>12</v>
      </c>
      <c r="B16" s="116" t="s">
        <v>413</v>
      </c>
      <c r="C16" s="116" t="s">
        <v>414</v>
      </c>
      <c r="D16" s="116" t="s">
        <v>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2026-10-28T07:22:00Z</dcterms:created>
  <dc:creator>openpyxl</dc:creator>
  <dc:description/>
  <dc:language>en-US</dc:language>
  <cp:lastModifiedBy/>
  <dcterms:modified xsi:type="dcterms:W3CDTF">2026-10-28T07:22:01Z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