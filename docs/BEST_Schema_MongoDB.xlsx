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iagram" sheetId="2" state="visible" r:id="rId4"/>
    <sheet name="organizations" sheetId="3" state="visible" r:id="rId5"/>
    <sheet name="locations" sheetId="4" state="visible" r:id="rId6"/>
    <sheet name="licences" sheetId="5" state="visible" r:id="rId7"/>
    <sheet name="permissions" sheetId="6" state="visible" r:id="rId8"/>
    <sheet name="roles" sheetId="7" state="visible" r:id="rId9"/>
    <sheet name="role_versions" sheetId="8" state="visible" r:id="rId10"/>
    <sheet name="certification_types" sheetId="9" state="visible" r:id="rId11"/>
    <sheet name="user_field_definitions" sheetId="10" state="visible" r:id="rId12"/>
    <sheet name="platform_settings" sheetId="11" state="visible" r:id="rId13"/>
    <sheet name="users" sheetId="12" state="visible" r:id="rId14"/>
    <sheet name="auth_tokens" sheetId="13" state="visible" r:id="rId15"/>
    <sheet name="login_sessions" sheetId="14" state="visible" r:id="rId16"/>
    <sheet name="audit_events" sheetId="15" state="visible" r:id="rId17"/>
    <sheet name="consent_item_types" sheetId="16" state="visible" r:id="rId18"/>
    <sheet name="assessment_types" sheetId="17" state="visible" r:id="rId19"/>
    <sheet name="clinic_settings" sheetId="18" state="visible" r:id="rId20"/>
    <sheet name="client_profiles" sheetId="19" state="visible" r:id="rId21"/>
    <sheet name="checklists" sheetId="20" state="visible" r:id="rId22"/>
    <sheet name="device_models" sheetId="21" state="visible" r:id="rId23"/>
    <sheet name="devices" sheetId="22" state="visible" r:id="rId24"/>
    <sheet name="signal_types" sheetId="23" state="visible" r:id="rId25"/>
    <sheet name="reference_ranges" sheetId="24" state="visible" r:id="rId26"/>
    <sheet name="clinical_parameters" sheetId="25" state="visible" r:id="rId27"/>
    <sheet name="display_phrases" sheetId="26" state="visible" r:id="rId28"/>
    <sheet name="reason_codes" sheetId="27" state="visible" r:id="rId29"/>
    <sheet name="client_field_definitions" sheetId="28" state="visible" r:id="rId30"/>
    <sheet name="Indexes" sheetId="29" state="visible" r:id="rId31"/>
    <sheet name="Design notes" sheetId="30" state="visible" r:id="rId3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<sst xmlns="http://schemas.openxmlformats.org/spreadsheetml/2006/main" count="2579" uniqueCount="822">
  <si>
    <t xml:space="preserve">BEST · MongoDB schema — user creation, login and platform master data</t>
  </si>
  <si>
    <t xml:space="preserve">Draft for review · 28 October 2026 · Shared collections; every clinic document carries orgId · Based on FSD v0.4, PRD v3.1 and decisions D-018, D-019, D-021, D-022</t>
  </si>
  <si>
    <t xml:space="preserve">Collection</t>
  </si>
  <si>
    <t xml:space="preserve">Group</t>
  </si>
  <si>
    <t xml:space="preserve">Level</t>
  </si>
  <si>
    <t xml:space="preserve">Kind</t>
  </si>
  <si>
    <t xml:space="preserve">Maintained by</t>
  </si>
  <si>
    <t xml:space="preserve">Purpose</t>
  </si>
  <si>
    <t xml:space="preserve">Fields</t>
  </si>
  <si>
    <t xml:space="preserve">Tab</t>
  </si>
  <si>
    <t xml:space="preserve">organizations</t>
  </si>
  <si>
    <t xml:space="preserve">User creation and login</t>
  </si>
  <si>
    <t xml:space="preserve">Platform</t>
  </si>
  <si>
    <t xml:space="preserve">Master</t>
  </si>
  <si>
    <t xml:space="preserve">BEST (created at onboarding); Org Admin edits contacts and time zone</t>
  </si>
  <si>
    <t xml:space="preserve">One document per clinic (tenant).</t>
  </si>
  <si>
    <t xml:space="preserve">locations</t>
  </si>
  <si>
    <t xml:space="preserve">Clinic</t>
  </si>
  <si>
    <t xml:space="preserve">Org Admin (first entered at onboarding)</t>
  </si>
  <si>
    <t xml:space="preserve">Clinic sites; users and clients are linked to one or more.</t>
  </si>
  <si>
    <t xml:space="preserve">licences</t>
  </si>
  <si>
    <t xml:space="preserve">BEST Platform Admin; clinic can view</t>
  </si>
  <si>
    <t xml:space="preserve">Licence history per clinic; one active at a time.</t>
  </si>
  <si>
    <t xml:space="preserve">permissions</t>
  </si>
  <si>
    <t xml:space="preserve">Master (release-managed)</t>
  </si>
  <si>
    <t xml:space="preserve">BEST, through software releases</t>
  </si>
  <si>
    <t xml:space="preserve">Catalogue of every permission the code checks.</t>
  </si>
  <si>
    <t xml:space="preserve">roles</t>
  </si>
  <si>
    <t xml:space="preserve">Platform + Clinic</t>
  </si>
  <si>
    <t xml:space="preserve">Predefined: BEST. Custom: Org Admin</t>
  </si>
  <si>
    <t xml:space="preserve">Predefined and custom roles with their permissions embedded.</t>
  </si>
  <si>
    <t xml:space="preserve">role_versions</t>
  </si>
  <si>
    <t xml:space="preserve">History</t>
  </si>
  <si>
    <t xml:space="preserve">System</t>
  </si>
  <si>
    <t xml:space="preserve">Snapshot of a role at each version, for audit.</t>
  </si>
  <si>
    <t xml:space="preserve">certification_types</t>
  </si>
  <si>
    <t xml:space="preserve">BEST Platform Admin</t>
  </si>
  <si>
    <t xml:space="preserve">List of certifications users can hold.</t>
  </si>
  <si>
    <t xml:space="preserve">user_field_definitions</t>
  </si>
  <si>
    <t xml:space="preserve">Org Admin (Clinic settings)</t>
  </si>
  <si>
    <t xml:space="preserve">Extra fields a clinic adds to the Create user screen.</t>
  </si>
  <si>
    <t xml:space="preserve">platform_settings</t>
  </si>
  <si>
    <t xml:space="preserve">Configuration</t>
  </si>
  <si>
    <t xml:space="preserve">One document holding configurable security and format settings.</t>
  </si>
  <si>
    <t xml:space="preserve">users</t>
  </si>
  <si>
    <t xml:space="preserve">Transactional</t>
  </si>
  <si>
    <t xml:space="preserve">Org Admin creates; user maintains own password</t>
  </si>
  <si>
    <t xml:space="preserve">Clinic staff accounts, with locations, certifications and clinic field values embedded.</t>
  </si>
  <si>
    <t xml:space="preserve">auth_tokens</t>
  </si>
  <si>
    <t xml:space="preserve">Transactional (short-lived)</t>
  </si>
  <si>
    <t xml:space="preserve">One-time email codes and password-reset links; removed automatically after expiry.</t>
  </si>
  <si>
    <t xml:space="preserve">login_sessions</t>
  </si>
  <si>
    <t xml:space="preserve">Signed-in sessions, for idle logout and forced sign-out on deactivation.</t>
  </si>
  <si>
    <t xml:space="preserve">audit_events</t>
  </si>
  <si>
    <t xml:space="preserve">Transactional (append-only)</t>
  </si>
  <si>
    <t xml:space="preserve">Who did what and when; never edited or deleted.</t>
  </si>
  <si>
    <t xml:space="preserve">consent_item_types</t>
  </si>
  <si>
    <t xml:space="preserve">Platform master data</t>
  </si>
  <si>
    <t xml:space="preserve">BEST items: BEST Platform Admin. Clinic items: Org Admin</t>
  </si>
  <si>
    <t xml:space="preserve">Consent items a client's parent can sign. BEST items drive platform blocks; clinic-added items are tracked only.</t>
  </si>
  <si>
    <t xml:space="preserve">assessment_types</t>
  </si>
  <si>
    <t xml:space="preserve">BEST Platform Admin (added on clinic request)</t>
  </si>
  <si>
    <t xml:space="preserve">Assessments a clinic can use; each defines the key scores captured and the levels used for client profiles.</t>
  </si>
  <si>
    <t xml:space="preserve">clinic_settings</t>
  </si>
  <si>
    <t xml:space="preserve">Org Admin for clinic values; BEST Platform Admin for consent validity</t>
  </si>
  <si>
    <t xml:space="preserve">One document per clinic holding clinic-level settings for master data.</t>
  </si>
  <si>
    <t xml:space="preserve">client_profiles</t>
  </si>
  <si>
    <t xml:space="preserve">BEST clinical lead</t>
  </si>
  <si>
    <t xml:space="preserve">Groups of clients used to choose the default checklist: age band plus assessment level.</t>
  </si>
  <si>
    <t xml:space="preserve">checklists</t>
  </si>
  <si>
    <t xml:space="preserve">BEST library: BEST clinical lead. Clinic copies: Org Admin</t>
  </si>
  <si>
    <t xml:space="preserve">Default session checklists, used when the AI service returns none; clinics can copy and adapt.</t>
  </si>
  <si>
    <t xml:space="preserve">device_models</t>
  </si>
  <si>
    <t xml:space="preserve">Supported wearable and room audio device models.</t>
  </si>
  <si>
    <t xml:space="preserve">devices</t>
  </si>
  <si>
    <t xml:space="preserve">Master (registry)</t>
  </si>
  <si>
    <t xml:space="preserve">Every device BEST supplies, registered to a clinic and location; linked to a session at start and released at end.</t>
  </si>
  <si>
    <t xml:space="preserve">signal_types</t>
  </si>
  <si>
    <t xml:space="preserve">Signals the platform shows, such as heart rate.</t>
  </si>
  <si>
    <t xml:space="preserve">reference_ranges</t>
  </si>
  <si>
    <t xml:space="preserve">Master (clinically approved)</t>
  </si>
  <si>
    <t xml:space="preserve">Age-aware reference ranges per signal; one approved set for all clinics.</t>
  </si>
  <si>
    <t xml:space="preserve">clinical_parameters</t>
  </si>
  <si>
    <t xml:space="preserve">Configuration (clinically approved)</t>
  </si>
  <si>
    <t xml:space="preserve">Alert and display parameters; one approved version is active for all clinics.</t>
  </si>
  <si>
    <t xml:space="preserve">display_phrases</t>
  </si>
  <si>
    <t xml:space="preserve">The only phrases allowed in system labels, alerts and displayed summaries.</t>
  </si>
  <si>
    <t xml:space="preserve">reason_codes</t>
  </si>
  <si>
    <t xml:space="preserve">BEST defaults: BEST Platform Admin. Clinic reasons: Org Admin</t>
  </si>
  <si>
    <t xml:space="preserve">Reasons for no-shows, cancellations and checklist items not done.</t>
  </si>
  <si>
    <t xml:space="preserve">client_field_definitions</t>
  </si>
  <si>
    <t xml:space="preserve">Extra fields a clinic adds to the client profile; never sent to the AI service.</t>
  </si>
  <si>
    <t xml:space="preserve">Collections and references</t>
  </si>
  <si>
    <t xml:space="preserve">→ = reference · [ ] = embedded array · colours: blue master, green transactional, grey short-lived/history, purple configuration</t>
  </si>
  <si>
    <t xml:space="preserve">1. User creation and login</t>
  </si>
  <si>
    <t xml:space="preserve">2. Platform master data (D-022)</t>
  </si>
  <si>
    <t xml:space="preserve">Master · Platform · Maintained by: BEST (created at onboarding); Org Admin edits contacts and time zone</t>
  </si>
  <si>
    <t xml:space="preserve">Field</t>
  </si>
  <si>
    <t xml:space="preserve">Type</t>
  </si>
  <si>
    <t xml:space="preserve">Required</t>
  </si>
  <si>
    <t xml:space="preserve">Description</t>
  </si>
  <si>
    <t xml:space="preserve">Rules / validation</t>
  </si>
  <si>
    <t xml:space="preserve">Example</t>
  </si>
  <si>
    <t xml:space="preserve">Source</t>
  </si>
  <si>
    <t xml:space="preserve">_id</t>
  </si>
  <si>
    <t xml:space="preserve">objectId</t>
  </si>
  <si>
    <t xml:space="preserve">Yes</t>
  </si>
  <si>
    <t xml:space="preserve">Clinic ID; used as orgId everywhere</t>
  </si>
  <si>
    <t xml:space="preserve">Primary key</t>
  </si>
  <si>
    <t xml:space="preserve">6720a0…</t>
  </si>
  <si>
    <t xml:space="preserve">D-018</t>
  </si>
  <si>
    <t xml:space="preserve">legalName</t>
  </si>
  <si>
    <t xml:space="preserve">string</t>
  </si>
  <si>
    <t xml:space="preserve">Registered legal name</t>
  </si>
  <si>
    <t xml:space="preserve">1–200 characters</t>
  </si>
  <si>
    <t xml:space="preserve">[Clinic legal name]</t>
  </si>
  <si>
    <t xml:space="preserve">displayName</t>
  </si>
  <si>
    <t xml:space="preserve">Name shown in the app and emails</t>
  </si>
  <si>
    <t xml:space="preserve">1–100 characters</t>
  </si>
  <si>
    <t xml:space="preserve">[Clinic name]</t>
  </si>
  <si>
    <t xml:space="preserve">ein</t>
  </si>
  <si>
    <t xml:space="preserve">Employer Identification Number</t>
  </si>
  <si>
    <t xml:space="preserve">9 digits; unique across platform</t>
  </si>
  <si>
    <t xml:space="preserve">12-3456789</t>
  </si>
  <si>
    <t xml:space="preserve">npi</t>
  </si>
  <si>
    <t xml:space="preserve">National Provider Identifier (type 2)</t>
  </si>
  <si>
    <t xml:space="preserve">10 digits; unique across platform</t>
  </si>
  <si>
    <t xml:space="preserve">1234567890</t>
  </si>
  <si>
    <t xml:space="preserve">address</t>
  </si>
  <si>
    <t xml:space="preserve">object</t>
  </si>
  <si>
    <t xml:space="preserve">Registered address</t>
  </si>
  <si>
    <t xml:space="preserve">line1, line2, city, state, postalCode, country</t>
  </si>
  <si>
    <t xml:space="preserve">{…}</t>
  </si>
  <si>
    <t xml:space="preserve">country</t>
  </si>
  <si>
    <t xml:space="preserve">Country code; drives phone format and certification list</t>
  </si>
  <si>
    <t xml:space="preserve">ISO 3166-1 alpha-2; US for now</t>
  </si>
  <si>
    <t xml:space="preserve">US</t>
  </si>
  <si>
    <t xml:space="preserve">FSD BR-19</t>
  </si>
  <si>
    <t xml:space="preserve">timeZone</t>
  </si>
  <si>
    <t xml:space="preserve">Default time zone</t>
  </si>
  <si>
    <t xml:space="preserve">IANA name</t>
  </si>
  <si>
    <t xml:space="preserve">America/Chicago</t>
  </si>
  <si>
    <t xml:space="preserve">primaryContact</t>
  </si>
  <si>
    <t xml:space="preserve">Contact named at onboarding (first Org Admin)</t>
  </si>
  <si>
    <t xml:space="preserve">name, email, phone</t>
  </si>
  <si>
    <t xml:space="preserve">status</t>
  </si>
  <si>
    <t xml:space="preserve">Clinic status</t>
  </si>
  <si>
    <t xml:space="preserve">Draft | Submitted | SentBack | Rejected | Approved | Active | Suspended | Expired</t>
  </si>
  <si>
    <t xml:space="preserve">Active</t>
  </si>
  <si>
    <t xml:space="preserve">onboarding</t>
  </si>
  <si>
    <t xml:space="preserve">No</t>
  </si>
  <si>
    <t xml:space="preserve">Onboarding request details</t>
  </si>
  <si>
    <t xml:space="preserve">keyAccountManagerId, submittedAt, approvedBy, approvedAt, rejectionReason</t>
  </si>
  <si>
    <t xml:space="preserve">createdAt</t>
  </si>
  <si>
    <t xml:space="preserve">date</t>
  </si>
  <si>
    <t xml:space="preserve">When the document was created</t>
  </si>
  <si>
    <t xml:space="preserve">Set by the system</t>
  </si>
  <si>
    <t xml:space="preserve">2026-10-28T06:30:00Z</t>
  </si>
  <si>
    <t xml:space="preserve">Audit</t>
  </si>
  <si>
    <t xml:space="preserve">createdBy</t>
  </si>
  <si>
    <t xml:space="preserve">User who created it</t>
  </si>
  <si>
    <t xml:space="preserve">→ users._id; system jobs use a fixed system ID</t>
  </si>
  <si>
    <t xml:space="preserve">6720f1…</t>
  </si>
  <si>
    <t xml:space="preserve">updatedAt</t>
  </si>
  <si>
    <t xml:space="preserve">When it last changed</t>
  </si>
  <si>
    <t xml:space="preserve">updatedBy</t>
  </si>
  <si>
    <t xml:space="preserve">User who last changed it</t>
  </si>
  <si>
    <t xml:space="preserve">→ users._id</t>
  </si>
  <si>
    <t xml:space="preserve">Master · Clinic · Maintained by: Org Admin (first entered at onboarding)</t>
  </si>
  <si>
    <t xml:space="preserve">Location ID</t>
  </si>
  <si>
    <t xml:space="preserve">6720b1…</t>
  </si>
  <si>
    <t xml:space="preserve">orgId</t>
  </si>
  <si>
    <t xml:space="preserve">Clinic it belongs to</t>
  </si>
  <si>
    <t xml:space="preserve">→ organizations._id; on every query</t>
  </si>
  <si>
    <t xml:space="preserve">Tenancy</t>
  </si>
  <si>
    <t xml:space="preserve">name</t>
  </si>
  <si>
    <t xml:space="preserve">Location name</t>
  </si>
  <si>
    <t xml:space="preserve">Unique within the clinic; 1–100 characters</t>
  </si>
  <si>
    <t xml:space="preserve">Main</t>
  </si>
  <si>
    <t xml:space="preserve">FSD S2</t>
  </si>
  <si>
    <t xml:space="preserve">Site address</t>
  </si>
  <si>
    <t xml:space="preserve">line1, line2, city, state, postalCode</t>
  </si>
  <si>
    <t xml:space="preserve">Time zone if different from the clinic’s</t>
  </si>
  <si>
    <t xml:space="preserve">IANA name; empty = clinic’s</t>
  </si>
  <si>
    <t xml:space="preserve">America/Denver</t>
  </si>
  <si>
    <t xml:space="preserve">Location status</t>
  </si>
  <si>
    <t xml:space="preserve">Active | Closed. Cannot close while a user or client is linked only to it</t>
  </si>
  <si>
    <t xml:space="preserve">Design note</t>
  </si>
  <si>
    <t xml:space="preserve">closedAt</t>
  </si>
  <si>
    <t xml:space="preserve">When it was closed</t>
  </si>
  <si>
    <t xml:space="preserve">Set when status becomes Closed</t>
  </si>
  <si>
    <t xml:space="preserve">Master · Clinic · Maintained by: BEST Platform Admin; clinic can view</t>
  </si>
  <si>
    <t xml:space="preserve">Licence ID</t>
  </si>
  <si>
    <t xml:space="preserve">6720c2…</t>
  </si>
  <si>
    <t xml:space="preserve">PRD 8.11</t>
  </si>
  <si>
    <t xml:space="preserve">→ organizations._id</t>
  </si>
  <si>
    <t xml:space="preserve">plan</t>
  </si>
  <si>
    <t xml:space="preserve">Plan or package name</t>
  </si>
  <si>
    <t xml:space="preserve">From BEST’s plan list</t>
  </si>
  <si>
    <t xml:space="preserve">Standard</t>
  </si>
  <si>
    <t xml:space="preserve">activeUserLimit</t>
  </si>
  <si>
    <t xml:space="preserve">int</t>
  </si>
  <si>
    <t xml:space="preserve">Maximum active users</t>
  </si>
  <si>
    <t xml:space="preserve">≥ 1</t>
  </si>
  <si>
    <t xml:space="preserve">25</t>
  </si>
  <si>
    <t xml:space="preserve">FSD BR-03</t>
  </si>
  <si>
    <t xml:space="preserve">features</t>
  </si>
  <si>
    <t xml:space="preserve">array&lt;string&gt;</t>
  </si>
  <si>
    <t xml:space="preserve">Enabled features</t>
  </si>
  <si>
    <t xml:space="preserve">e.g. telehealth</t>
  </si>
  <si>
    <t xml:space="preserve">["telehealth"]</t>
  </si>
  <si>
    <t xml:space="preserve">startDate</t>
  </si>
  <si>
    <t xml:space="preserve">Valid from</t>
  </si>
  <si>
    <t xml:space="preserve">2026-11-01</t>
  </si>
  <si>
    <t xml:space="preserve">endDate</t>
  </si>
  <si>
    <t xml:space="preserve">Valid until</t>
  </si>
  <si>
    <t xml:space="preserve">After startDate</t>
  </si>
  <si>
    <t xml:space="preserve">2027-10-31</t>
  </si>
  <si>
    <t xml:space="preserve">Licence status</t>
  </si>
  <si>
    <t xml:space="preserve">Active | Suspended | Expired | Superseded. Only one Active per clinic</t>
  </si>
  <si>
    <t xml:space="preserve">D-019</t>
  </si>
  <si>
    <t xml:space="preserve">supersedesLicenceId</t>
  </si>
  <si>
    <t xml:space="preserve">Previous licence this one replaces</t>
  </si>
  <si>
    <t xml:space="preserve">→ licences._id</t>
  </si>
  <si>
    <t xml:space="preserve">notes</t>
  </si>
  <si>
    <t xml:space="preserve">Internal notes</t>
  </si>
  <si>
    <t xml:space="preserve">BEST only</t>
  </si>
  <si>
    <t xml:space="preserve">Master (release-managed) · Platform · Maintained by: BEST, through software releases</t>
  </si>
  <si>
    <t xml:space="preserve">Permission ID</t>
  </si>
  <si>
    <t xml:space="preserve">Never reused, e.g. SES-02</t>
  </si>
  <si>
    <t xml:space="preserve">SES-02</t>
  </si>
  <si>
    <t xml:space="preserve">Catalogue</t>
  </si>
  <si>
    <t xml:space="preserve">module</t>
  </si>
  <si>
    <t xml:space="preserve">Module it belongs to</t>
  </si>
  <si>
    <t xml:space="preserve">One of the 14 modules</t>
  </si>
  <si>
    <t xml:space="preserve">Sessions</t>
  </si>
  <si>
    <t xml:space="preserve">Short name</t>
  </si>
  <si>
    <t xml:space="preserve">Create a session</t>
  </si>
  <si>
    <t xml:space="preserve">description</t>
  </si>
  <si>
    <t xml:space="preserve">What it allows</t>
  </si>
  <si>
    <t xml:space="preserve">Schedule a session for a client and therapist</t>
  </si>
  <si>
    <t xml:space="preserve">level</t>
  </si>
  <si>
    <t xml:space="preserve">Kind of action, for display; roles grant permissions one by one (D-021)</t>
  </si>
  <si>
    <t xml:space="preserve">AlwaysOn | View | Edit</t>
  </si>
  <si>
    <t xml:space="preserve">Edit</t>
  </si>
  <si>
    <t xml:space="preserve">containsPhi</t>
  </si>
  <si>
    <t xml:space="preserve">bool</t>
  </si>
  <si>
    <t xml:space="preserve">Touches protected health information</t>
  </si>
  <si>
    <t xml:space="preserve">true</t>
  </si>
  <si>
    <t xml:space="preserve">grantsAdminAccess</t>
  </si>
  <si>
    <t xml:space="preserve">Gives admin access (MFA mandatory)</t>
  </si>
  <si>
    <t xml:space="preserve">True for Users &amp; roles and Clinic settings</t>
  </si>
  <si>
    <t xml:space="preserve">false</t>
  </si>
  <si>
    <t xml:space="preserve">FSD BR-11</t>
  </si>
  <si>
    <t xml:space="preserve">reauth</t>
  </si>
  <si>
    <t xml:space="preserve">Password re-entry rule</t>
  </si>
  <si>
    <t xml:space="preserve">No | Yes | WhenAdminAccess</t>
  </si>
  <si>
    <t xml:space="preserve">FSD BR-18</t>
  </si>
  <si>
    <t xml:space="preserve">dependsOn</t>
  </si>
  <si>
    <t xml:space="preserve">Condition, e.g. licence feature</t>
  </si>
  <si>
    <t xml:space="preserve">telehealth</t>
  </si>
  <si>
    <t xml:space="preserve">Catalogue status</t>
  </si>
  <si>
    <t xml:space="preserve">Active | Retired</t>
  </si>
  <si>
    <t xml:space="preserve">Master · Platform + Clinic · Maintained by: Predefined: BEST. Custom: Org Admin</t>
  </si>
  <si>
    <t xml:space="preserve">Role ID</t>
  </si>
  <si>
    <t xml:space="preserve">6720d3…</t>
  </si>
  <si>
    <t xml:space="preserve">FSD S3–S4</t>
  </si>
  <si>
    <t xml:space="preserve">Clinic for a custom role</t>
  </si>
  <si>
    <t xml:space="preserve">→ organizations._id; empty = predefined role</t>
  </si>
  <si>
    <t xml:space="preserve">Role name</t>
  </si>
  <si>
    <t xml:space="preserve">Unique per clinic, including predefined names; 2–50 characters</t>
  </si>
  <si>
    <t xml:space="preserve">Senior Therapist</t>
  </si>
  <si>
    <t xml:space="preserve">FSD S4</t>
  </si>
  <si>
    <t xml:space="preserve">What the role is for</t>
  </si>
  <si>
    <t xml:space="preserve">Up to 250 characters</t>
  </si>
  <si>
    <t xml:space="preserve">Therapist who can also schedule sessions</t>
  </si>
  <si>
    <t xml:space="preserve">type</t>
  </si>
  <si>
    <t xml:space="preserve">Role type</t>
  </si>
  <si>
    <t xml:space="preserve">Predefined | Custom</t>
  </si>
  <si>
    <t xml:space="preserve">Custom</t>
  </si>
  <si>
    <t xml:space="preserve">FSD 1.3</t>
  </si>
  <si>
    <t xml:space="preserve">copiedFromRoleId</t>
  </si>
  <si>
    <t xml:space="preserve">Role it was copied from</t>
  </si>
  <si>
    <t xml:space="preserve">→ roles._id</t>
  </si>
  <si>
    <t xml:space="preserve">6720d0…</t>
  </si>
  <si>
    <t xml:space="preserve">Roles flow 27 Oct</t>
  </si>
  <si>
    <t xml:space="preserve">array&lt;object&gt;</t>
  </si>
  <si>
    <t xml:space="preserve">Granted permissions (embedded)</t>
  </si>
  <si>
    <t xml:space="preserve">Each: { permissionId → permissions._id, scope: Own | Assigned | Clinic }; at least one non-AlwaysOn</t>
  </si>
  <si>
    <t xml:space="preserve">[{permissionId:"SES-02",scope:"Assigned"}]</t>
  </si>
  <si>
    <t xml:space="preserve">hasAdminAccess</t>
  </si>
  <si>
    <t xml:space="preserve">Any permission grants admin access</t>
  </si>
  <si>
    <t xml:space="preserve">Derived by the system on save</t>
  </si>
  <si>
    <t xml:space="preserve">version</t>
  </si>
  <si>
    <t xml:space="preserve">Current version number</t>
  </si>
  <si>
    <t xml:space="preserve">Increases on every change; snapshot in role_versions</t>
  </si>
  <si>
    <t xml:space="preserve">3</t>
  </si>
  <si>
    <t xml:space="preserve">Role status</t>
  </si>
  <si>
    <t xml:space="preserve">Active | Retired. Cannot retire while users hold it</t>
  </si>
  <si>
    <t xml:space="preserve">History · Platform + Clinic · Maintained by: System</t>
  </si>
  <si>
    <t xml:space="preserve">Snapshot ID</t>
  </si>
  <si>
    <t xml:space="preserve">roleId</t>
  </si>
  <si>
    <t xml:space="preserve">Role</t>
  </si>
  <si>
    <t xml:space="preserve">Clinic (empty for predefined)</t>
  </si>
  <si>
    <t xml:space="preserve">Version number</t>
  </si>
  <si>
    <t xml:space="preserve">Unique per roleId</t>
  </si>
  <si>
    <t xml:space="preserve">snapshot</t>
  </si>
  <si>
    <t xml:space="preserve">Name, description and permissions at that version</t>
  </si>
  <si>
    <t xml:space="preserve">Copy of the role fields</t>
  </si>
  <si>
    <t xml:space="preserve">changedBy</t>
  </si>
  <si>
    <t xml:space="preserve">Who made the change</t>
  </si>
  <si>
    <t xml:space="preserve">changedAt</t>
  </si>
  <si>
    <t xml:space="preserve">When</t>
  </si>
  <si>
    <t xml:space="preserve">Master · Platform · Maintained by: BEST Platform Admin</t>
  </si>
  <si>
    <t xml:space="preserve">Code</t>
  </si>
  <si>
    <t xml:space="preserve">Unique</t>
  </si>
  <si>
    <t xml:space="preserve">RBT</t>
  </si>
  <si>
    <t xml:space="preserve">Full name</t>
  </si>
  <si>
    <t xml:space="preserve">Registered Behavior Technician</t>
  </si>
  <si>
    <t xml:space="preserve">Country it applies to</t>
  </si>
  <si>
    <t xml:space="preserve">ISO code; US for now</t>
  </si>
  <si>
    <t xml:space="preserve">issuingBody</t>
  </si>
  <si>
    <t xml:space="preserve">Issuing body</t>
  </si>
  <si>
    <t xml:space="preserve">BACB</t>
  </si>
  <si>
    <t xml:space="preserve">numberPattern</t>
  </si>
  <si>
    <t xml:space="preserve">Format check for the number</t>
  </si>
  <si>
    <t xml:space="preserve">Regular expression</t>
  </si>
  <si>
    <t xml:space="preserve">expiryRequired</t>
  </si>
  <si>
    <t xml:space="preserve">Expiry date must be entered</t>
  </si>
  <si>
    <t xml:space="preserve">Status</t>
  </si>
  <si>
    <t xml:space="preserve">Master · Clinic · Maintained by: Org Admin (Clinic settings)</t>
  </si>
  <si>
    <t xml:space="preserve">Field ID</t>
  </si>
  <si>
    <t xml:space="preserve">label</t>
  </si>
  <si>
    <t xml:space="preserve">Label shown on screen</t>
  </si>
  <si>
    <t xml:space="preserve">Unique within the clinic</t>
  </si>
  <si>
    <t xml:space="preserve">Employee ID</t>
  </si>
  <si>
    <t xml:space="preserve">Field type</t>
  </si>
  <si>
    <t xml:space="preserve">Text | Number | Date | Dropdown</t>
  </si>
  <si>
    <t xml:space="preserve">Text</t>
  </si>
  <si>
    <t xml:space="preserve">options</t>
  </si>
  <si>
    <t xml:space="preserve">Choices for a dropdown</t>
  </si>
  <si>
    <t xml:space="preserve">Required when type = Dropdown</t>
  </si>
  <si>
    <t xml:space="preserve">mandatory</t>
  </si>
  <si>
    <t xml:space="preserve">Must be filled</t>
  </si>
  <si>
    <t xml:space="preserve">appliesTo</t>
  </si>
  <si>
    <t xml:space="preserve">Which users see it</t>
  </si>
  <si>
    <t xml:space="preserve">{ allRoles: bool, roleIds: [→ roles._id] }</t>
  </si>
  <si>
    <t xml:space="preserve">{allRoles:true}</t>
  </si>
  <si>
    <t xml:space="preserve">displayOrder</t>
  </si>
  <si>
    <t xml:space="preserve">Order on screen</t>
  </si>
  <si>
    <t xml:space="preserve">1</t>
  </si>
  <si>
    <t xml:space="preserve">Active | Retired (values already entered are kept)</t>
  </si>
  <si>
    <t xml:space="preserve">Configuration · Platform · Maintained by: BEST Platform Admin</t>
  </si>
  <si>
    <t xml:space="preserve">Settings key</t>
  </si>
  <si>
    <t xml:space="preserve">Single document</t>
  </si>
  <si>
    <t xml:space="preserve">security</t>
  </si>
  <si>
    <t xml:space="preserve">FSD 9</t>
  </si>
  <si>
    <t xml:space="preserve">tempPasswordValidityHours</t>
  </si>
  <si>
    <t xml:space="preserve">Temporary password validity</t>
  </si>
  <si>
    <t xml:space="preserve">72</t>
  </si>
  <si>
    <t xml:space="preserve">FSD BR-08</t>
  </si>
  <si>
    <t xml:space="preserve">passwordPolicy</t>
  </si>
  <si>
    <t xml:space="preserve">Password rules</t>
  </si>
  <si>
    <t xml:space="preserve">minLength 12; upper, lower, number, symbol; historyCount 5; expiryDays null</t>
  </si>
  <si>
    <t xml:space="preserve">emailCode</t>
  </si>
  <si>
    <t xml:space="preserve">Email code settings</t>
  </si>
  <si>
    <t xml:space="preserve">digits 6; validityMinutes 10; resendAfterSeconds 60</t>
  </si>
  <si>
    <t xml:space="preserve">lockoutThreshold</t>
  </si>
  <si>
    <t xml:space="preserve">Failed attempts before lockout</t>
  </si>
  <si>
    <t xml:space="preserve">5</t>
  </si>
  <si>
    <t xml:space="preserve">FSD BR-12</t>
  </si>
  <si>
    <t xml:space="preserve">resetLinkValidityMinutes</t>
  </si>
  <si>
    <t xml:space="preserve">Password-reset link validity</t>
  </si>
  <si>
    <t xml:space="preserve">30</t>
  </si>
  <si>
    <t xml:space="preserve">FSD BR-16</t>
  </si>
  <si>
    <t xml:space="preserve">idleLogout</t>
  </si>
  <si>
    <t xml:space="preserve">Inactivity logout</t>
  </si>
  <si>
    <t xml:space="preserve">minutes 15; warningMinutes 2</t>
  </si>
  <si>
    <t xml:space="preserve">FSD BR-15</t>
  </si>
  <si>
    <t xml:space="preserve">phoneFormats</t>
  </si>
  <si>
    <t xml:space="preserve">Phone formats by country</t>
  </si>
  <si>
    <t xml:space="preserve">Each: { country, pattern, example }</t>
  </si>
  <si>
    <t xml:space="preserve">[{country:"US",…}]</t>
  </si>
  <si>
    <t xml:space="preserve">Transactional · Clinic · Maintained by: Org Admin creates; user maintains own password</t>
  </si>
  <si>
    <t xml:space="preserve">User ID</t>
  </si>
  <si>
    <t xml:space="preserve">6720e4…</t>
  </si>
  <si>
    <t xml:space="preserve">→ organizations._id; one clinic per user</t>
  </si>
  <si>
    <t xml:space="preserve">email</t>
  </si>
  <si>
    <t xml:space="preserve">Login ID</t>
  </si>
  <si>
    <t xml:space="preserve">Lower-cased; unique across the platform</t>
  </si>
  <si>
    <t xml:space="preserve">a.rivera@clinic.com</t>
  </si>
  <si>
    <t xml:space="preserve">FSD BR-02</t>
  </si>
  <si>
    <t xml:space="preserve">First and last name</t>
  </si>
  <si>
    <t xml:space="preserve">{ first, last }; 1–50 characters each</t>
  </si>
  <si>
    <t xml:space="preserve">{first:"A.",last:"Rivera"}</t>
  </si>
  <si>
    <t xml:space="preserve">phone</t>
  </si>
  <si>
    <t xml:space="preserve">Phone number</t>
  </si>
  <si>
    <t xml:space="preserve">Matches the clinic country’s format</t>
  </si>
  <si>
    <t xml:space="preserve">+15555550100</t>
  </si>
  <si>
    <t xml:space="preserve">jobTitle</t>
  </si>
  <si>
    <t xml:space="preserve">Job title</t>
  </si>
  <si>
    <t xml:space="preserve">Up to 100 characters</t>
  </si>
  <si>
    <t xml:space="preserve">locationIds</t>
  </si>
  <si>
    <t xml:space="preserve">array&lt;objectId&gt;</t>
  </si>
  <si>
    <t xml:space="preserve">Locations the user works at</t>
  </si>
  <si>
    <t xml:space="preserve">→ locations._id; at least one</t>
  </si>
  <si>
    <t xml:space="preserve">[6720b1…]</t>
  </si>
  <si>
    <t xml:space="preserve">The user’s one role</t>
  </si>
  <si>
    <t xml:space="preserve">→ roles._id; Active role of this clinic or predefined</t>
  </si>
  <si>
    <t xml:space="preserve">certifications</t>
  </si>
  <si>
    <t xml:space="preserve">Certifications held (embedded)</t>
  </si>
  <si>
    <t xml:space="preserve">Each: { _id, typeId → certification_types._id, number, expiryDate, status: Current | Expired | Superseded, addedAt, addedBy }</t>
  </si>
  <si>
    <t xml:space="preserve">[{typeId:"RBT",…}]</t>
  </si>
  <si>
    <t xml:space="preserve">customFields</t>
  </si>
  <si>
    <t xml:space="preserve">Values for clinic fields</t>
  </si>
  <si>
    <t xml:space="preserve">Each: { fieldId → user_field_definitions._id, value }</t>
  </si>
  <si>
    <t xml:space="preserve">[{fieldId:…,value:"E-104"}]</t>
  </si>
  <si>
    <t xml:space="preserve">mfa</t>
  </si>
  <si>
    <t xml:space="preserve">Email code at login</t>
  </si>
  <si>
    <t xml:space="preserve">{ required: bool, enforcedByRole: bool }; required = true when the role has admin access</t>
  </si>
  <si>
    <t xml:space="preserve">{required:false}</t>
  </si>
  <si>
    <t xml:space="preserve">Account status</t>
  </si>
  <si>
    <t xml:space="preserve">Invited | InviteExpired | Active | Locked | Deactivated</t>
  </si>
  <si>
    <t xml:space="preserve">FSD 6</t>
  </si>
  <si>
    <t xml:space="preserve">auth</t>
  </si>
  <si>
    <t xml:space="preserve">Login data (never shown in the app)</t>
  </si>
  <si>
    <t xml:space="preserve">passwordHash, mustChangePassword, tempPasswordExpiresAt, passwordChangedAt, passwordHistory [last 5 hashes], failedLoginCount, lockedAt, lastLoginAt</t>
  </si>
  <si>
    <t xml:space="preserve">FSD BR-08–17</t>
  </si>
  <si>
    <t xml:space="preserve">invite</t>
  </si>
  <si>
    <t xml:space="preserve">Welcome email tracking</t>
  </si>
  <si>
    <t xml:space="preserve">sentAt, expiresAt, resendCount</t>
  </si>
  <si>
    <t xml:space="preserve">FSD BR-09</t>
  </si>
  <si>
    <t xml:space="preserve">deactivation</t>
  </si>
  <si>
    <t xml:space="preserve">Deactivation details</t>
  </si>
  <si>
    <t xml:space="preserve">deactivatedAt, deactivatedBy, reactivatedAt, reactivatedBy</t>
  </si>
  <si>
    <t xml:space="preserve">FSD S9</t>
  </si>
  <si>
    <t xml:space="preserve">Transactional (short-lived) · Clinic · Maintained by: System</t>
  </si>
  <si>
    <t xml:space="preserve">Token ID</t>
  </si>
  <si>
    <t xml:space="preserve">userId</t>
  </si>
  <si>
    <t xml:space="preserve">User</t>
  </si>
  <si>
    <t xml:space="preserve">FSD S7–S8</t>
  </si>
  <si>
    <t xml:space="preserve">Token type</t>
  </si>
  <si>
    <t xml:space="preserve">EmailCode | PasswordReset</t>
  </si>
  <si>
    <t xml:space="preserve">EmailCode</t>
  </si>
  <si>
    <t xml:space="preserve">tokenHash</t>
  </si>
  <si>
    <t xml:space="preserve">Hash of the code or link token</t>
  </si>
  <si>
    <t xml:space="preserve">Plain value is never stored</t>
  </si>
  <si>
    <t xml:space="preserve">Security</t>
  </si>
  <si>
    <t xml:space="preserve">expiresAt</t>
  </si>
  <si>
    <t xml:space="preserve">Expiry</t>
  </si>
  <si>
    <t xml:space="preserve">TTL index removes the document after this time</t>
  </si>
  <si>
    <t xml:space="preserve">usedAt</t>
  </si>
  <si>
    <t xml:space="preserve">When it was used</t>
  </si>
  <si>
    <t xml:space="preserve">Usable once</t>
  </si>
  <si>
    <t xml:space="preserve">attempts</t>
  </si>
  <si>
    <t xml:space="preserve">Wrong entries</t>
  </si>
  <si>
    <t xml:space="preserve">Counts towards lockout</t>
  </si>
  <si>
    <t xml:space="preserve">0</t>
  </si>
  <si>
    <t xml:space="preserve">Issued at</t>
  </si>
  <si>
    <t xml:space="preserve">Login session ID</t>
  </si>
  <si>
    <t xml:space="preserve">startedAt</t>
  </si>
  <si>
    <t xml:space="preserve">Signed in at</t>
  </si>
  <si>
    <t xml:space="preserve">lastActivityAt</t>
  </si>
  <si>
    <t xml:space="preserve">Last activity</t>
  </si>
  <si>
    <t xml:space="preserve">Drives the 15-minute idle logout</t>
  </si>
  <si>
    <t xml:space="preserve">endedAt</t>
  </si>
  <si>
    <t xml:space="preserve">Signed out at</t>
  </si>
  <si>
    <t xml:space="preserve">endReason</t>
  </si>
  <si>
    <t xml:space="preserve">Why it ended</t>
  </si>
  <si>
    <t xml:space="preserve">Logout | Idle | Deactivated | PasswordReset</t>
  </si>
  <si>
    <t xml:space="preserve">Idle</t>
  </si>
  <si>
    <t xml:space="preserve">FSD AC-17</t>
  </si>
  <si>
    <t xml:space="preserve">ip</t>
  </si>
  <si>
    <t xml:space="preserve">IP address</t>
  </si>
  <si>
    <t xml:space="preserve">Removal time</t>
  </si>
  <si>
    <t xml:space="preserve">TTL index</t>
  </si>
  <si>
    <t xml:space="preserve">Transactional (append-only) · Clinic · Maintained by: System</t>
  </si>
  <si>
    <t xml:space="preserve">Event ID</t>
  </si>
  <si>
    <t xml:space="preserve">FSD 10</t>
  </si>
  <si>
    <t xml:space="preserve">Clinic (empty for platform events)</t>
  </si>
  <si>
    <t xml:space="preserve">at</t>
  </si>
  <si>
    <t xml:space="preserve">When it happened</t>
  </si>
  <si>
    <t xml:space="preserve">actor</t>
  </si>
  <si>
    <t xml:space="preserve">Who did it</t>
  </si>
  <si>
    <t xml:space="preserve">{ userId → users._id, roleId, type: User | System }</t>
  </si>
  <si>
    <t xml:space="preserve">event</t>
  </si>
  <si>
    <t xml:space="preserve">Event name</t>
  </si>
  <si>
    <t xml:space="preserve">From the FSD Section 10 list, e.g. UserCreated, LoginFailed, ReauthFailed</t>
  </si>
  <si>
    <t xml:space="preserve">UserCreated</t>
  </si>
  <si>
    <t xml:space="preserve">target</t>
  </si>
  <si>
    <t xml:space="preserve">What it was done to</t>
  </si>
  <si>
    <t xml:space="preserve">{ collection, id }</t>
  </si>
  <si>
    <t xml:space="preserve">{collection:"users",id:…}</t>
  </si>
  <si>
    <t xml:space="preserve">details</t>
  </si>
  <si>
    <t xml:space="preserve">Event details</t>
  </si>
  <si>
    <t xml:space="preserve">Before and after values where relevant; never passwords, codes or tokens</t>
  </si>
  <si>
    <t xml:space="preserve">Master · Platform + Clinic · Maintained by: BEST items: BEST Platform Admin. Clinic items: Org Admin</t>
  </si>
  <si>
    <t xml:space="preserve">Consent item ID</t>
  </si>
  <si>
    <t xml:space="preserve">6721a0…</t>
  </si>
  <si>
    <t xml:space="preserve">D-022</t>
  </si>
  <si>
    <t xml:space="preserve">Clinic for a clinic-added item</t>
  </si>
  <si>
    <t xml:space="preserve">→ organizations._id; empty = BEST item</t>
  </si>
  <si>
    <t xml:space="preserve">code</t>
  </si>
  <si>
    <t xml:space="preserve">Short code</t>
  </si>
  <si>
    <t xml:space="preserve">Unique per clinic, including BEST codes</t>
  </si>
  <si>
    <t xml:space="preserve">WEARABLE</t>
  </si>
  <si>
    <t xml:space="preserve">Name shown on screen</t>
  </si>
  <si>
    <t xml:space="preserve">Wearable data during sessions</t>
  </si>
  <si>
    <t xml:space="preserve">PRD 8.12</t>
  </si>
  <si>
    <t xml:space="preserve">What the parent agrees to</t>
  </si>
  <si>
    <t xml:space="preserve">Up to 500 characters</t>
  </si>
  <si>
    <t xml:space="preserve">source</t>
  </si>
  <si>
    <t xml:space="preserve">Who owns the item</t>
  </si>
  <si>
    <t xml:space="preserve">BEST | Clinic</t>
  </si>
  <si>
    <t xml:space="preserve">BEST</t>
  </si>
  <si>
    <t xml:space="preserve">blocks</t>
  </si>
  <si>
    <t xml:space="preserve">Platform activity blocked when missing, expired or withdrawn</t>
  </si>
  <si>
    <t xml:space="preserve">Wearable | Audio | Telehealth | None. Always None for clinic items</t>
  </si>
  <si>
    <t xml:space="preserve">Wearable</t>
  </si>
  <si>
    <t xml:space="preserve">defaultValidityMonths</t>
  </si>
  <si>
    <t xml:space="preserve">Validity before renewal</t>
  </si>
  <si>
    <t xml:space="preserve">BEST items: default, overridden per clinic by BEST in clinic_settings. Clinic items: set by the clinic. Empty = no expiry</t>
  </si>
  <si>
    <t xml:space="preserve">12</t>
  </si>
  <si>
    <t xml:space="preserve">requiresSignedForm</t>
  </si>
  <si>
    <t xml:space="preserve">A signed form must be attached when recording</t>
  </si>
  <si>
    <t xml:space="preserve">D-017</t>
  </si>
  <si>
    <t xml:space="preserve">Active | Retired (records already made are kept)</t>
  </si>
  <si>
    <t xml:space="preserve">Master · Platform · Maintained by: BEST Platform Admin (added on clinic request)</t>
  </si>
  <si>
    <t xml:space="preserve">VBMAPP</t>
  </si>
  <si>
    <t xml:space="preserve">VB-MAPP</t>
  </si>
  <si>
    <t xml:space="preserve">Therapist flow 15 Oct</t>
  </si>
  <si>
    <t xml:space="preserve">scoreFields</t>
  </si>
  <si>
    <t xml:space="preserve">Key scores to capture on upload</t>
  </si>
  <si>
    <t xml:space="preserve">Each: { key, label, type: Number | Text | Level, min, max, required }</t>
  </si>
  <si>
    <t xml:space="preserve">[{key:"milestones",label:"Milestones score",type:"Number",min:0,max:170}]</t>
  </si>
  <si>
    <t xml:space="preserve">levels</t>
  </si>
  <si>
    <t xml:space="preserve">Levels used for client profiles</t>
  </si>
  <si>
    <t xml:space="preserve">Each: { code, label, rule }; definition per type to come from BEST’s clinical lead</t>
  </si>
  <si>
    <t xml:space="preserve">[{code:"L1",label:"Level 1"}]</t>
  </si>
  <si>
    <t xml:space="preserve">D-022 (open)</t>
  </si>
  <si>
    <t xml:space="preserve">Default validity before a new assessment is needed</t>
  </si>
  <si>
    <t xml:space="preserve">Clinics may change it in clinic_settings</t>
  </si>
  <si>
    <t xml:space="preserve">6</t>
  </si>
  <si>
    <t xml:space="preserve">reportFileTypes</t>
  </si>
  <si>
    <t xml:space="preserve">Allowed score-report files</t>
  </si>
  <si>
    <t xml:space="preserve">["pdf"]</t>
  </si>
  <si>
    <t xml:space="preserve">Therapist flow</t>
  </si>
  <si>
    <t xml:space="preserve">Configuration · Clinic · Maintained by: Org Admin for clinic values; BEST Platform Admin for consent validity</t>
  </si>
  <si>
    <t xml:space="preserve">Clinic ID</t>
  </si>
  <si>
    <t xml:space="preserve">Same as organizations._id; one document per clinic</t>
  </si>
  <si>
    <t xml:space="preserve">assessmentValidity</t>
  </si>
  <si>
    <t xml:space="preserve">Assessment validity used by this clinic</t>
  </si>
  <si>
    <t xml:space="preserve">{ months, warningDays }; set freely by the clinic (no floor or ceiling)</t>
  </si>
  <si>
    <t xml:space="preserve">{months:6,warningDays:30}</t>
  </si>
  <si>
    <t xml:space="preserve">consentValidity</t>
  </si>
  <si>
    <t xml:space="preserve">Validity of BEST consent items for this clinic</t>
  </si>
  <si>
    <t xml:space="preserve">Each: { consentItemTypeId → consent_item_types._id, months }; set by BEST</t>
  </si>
  <si>
    <t xml:space="preserve">[{consentItemTypeId:…,months:12}]</t>
  </si>
  <si>
    <t xml:space="preserve">Therapist flow 18 Oct; D-022</t>
  </si>
  <si>
    <t xml:space="preserve">checklistOverrides</t>
  </si>
  <si>
    <t xml:space="preserve">Clinic’s own copy to use for a profile</t>
  </si>
  <si>
    <t xml:space="preserve">Each: { profileId → client_profiles._id, checklistId → checklists._id }</t>
  </si>
  <si>
    <t xml:space="preserve">[]</t>
  </si>
  <si>
    <t xml:space="preserve">Master · Platform · Maintained by: BEST clinical lead</t>
  </si>
  <si>
    <t xml:space="preserve">Profile ID</t>
  </si>
  <si>
    <t xml:space="preserve">6721b0…</t>
  </si>
  <si>
    <t xml:space="preserve">Profile name</t>
  </si>
  <si>
    <t xml:space="preserve">Age 3–5 · VB-MAPP Level 1</t>
  </si>
  <si>
    <t xml:space="preserve">ageBand</t>
  </si>
  <si>
    <t xml:space="preserve">Age range in years</t>
  </si>
  <si>
    <t xml:space="preserve">{ minYears, maxYears }; bands do not overlap within one assessment level</t>
  </si>
  <si>
    <t xml:space="preserve">{minYears:3,maxYears:5}</t>
  </si>
  <si>
    <t xml:space="preserve">assessmentTypeId</t>
  </si>
  <si>
    <t xml:space="preserve">Assessment type</t>
  </si>
  <si>
    <t xml:space="preserve">→ assessment_types._id</t>
  </si>
  <si>
    <t xml:space="preserve">levelCode</t>
  </si>
  <si>
    <t xml:space="preserve">Assessment level</t>
  </si>
  <si>
    <t xml:space="preserve">One of assessment_types.levels[].code</t>
  </si>
  <si>
    <t xml:space="preserve">L1</t>
  </si>
  <si>
    <t xml:space="preserve">defaultChecklistId</t>
  </si>
  <si>
    <t xml:space="preserve">BEST default checklist for this profile</t>
  </si>
  <si>
    <t xml:space="preserve">→ checklists._id (BEST library)</t>
  </si>
  <si>
    <t xml:space="preserve">6721c0…</t>
  </si>
  <si>
    <t xml:space="preserve">Master · Platform + Clinic · Maintained by: BEST library: BEST clinical lead. Clinic copies: Org Admin</t>
  </si>
  <si>
    <t xml:space="preserve">Checklist ID</t>
  </si>
  <si>
    <t xml:space="preserve">Clinic for a clinic copy</t>
  </si>
  <si>
    <t xml:space="preserve">→ organizations._id; empty = BEST library</t>
  </si>
  <si>
    <t xml:space="preserve">Checklist name</t>
  </si>
  <si>
    <t xml:space="preserve">Unique per clinic</t>
  </si>
  <si>
    <t xml:space="preserve">Age 3–5 · VB-MAPP Level 1 · Standard</t>
  </si>
  <si>
    <t xml:space="preserve">profileId</t>
  </si>
  <si>
    <t xml:space="preserve">Client profile it serves</t>
  </si>
  <si>
    <t xml:space="preserve">→ client_profiles._id</t>
  </si>
  <si>
    <t xml:space="preserve">copiedFromChecklistId</t>
  </si>
  <si>
    <t xml:space="preserve">Checklist it was copied from</t>
  </si>
  <si>
    <t xml:space="preserve">→ checklists._id</t>
  </si>
  <si>
    <t xml:space="preserve">items</t>
  </si>
  <si>
    <t xml:space="preserve">Checklist items</t>
  </si>
  <si>
    <t xml:space="preserve">Each: { _id, order, text, area }; at least one. Therapists cannot add or remove items in a session</t>
  </si>
  <si>
    <t xml:space="preserve">[{order:1,text:"Greeting routine"}]</t>
  </si>
  <si>
    <t xml:space="preserve">Increases on every change; a session keeps a copy of the items it loaded</t>
  </si>
  <si>
    <t xml:space="preserve">2</t>
  </si>
  <si>
    <t xml:space="preserve">Model ID</t>
  </si>
  <si>
    <t xml:space="preserve">6721d0…</t>
  </si>
  <si>
    <t xml:space="preserve">kind</t>
  </si>
  <si>
    <t xml:space="preserve">Device kind</t>
  </si>
  <si>
    <t xml:space="preserve">Wearable | RoomAudio</t>
  </si>
  <si>
    <t xml:space="preserve">PRD 8.4; D-022</t>
  </si>
  <si>
    <t xml:space="preserve">manufacturer</t>
  </si>
  <si>
    <t xml:space="preserve">Manufacturer</t>
  </si>
  <si>
    <t xml:space="preserve">[Vendor]</t>
  </si>
  <si>
    <t xml:space="preserve">PRD 8.4</t>
  </si>
  <si>
    <t xml:space="preserve">model</t>
  </si>
  <si>
    <t xml:space="preserve">Model name</t>
  </si>
  <si>
    <t xml:space="preserve">Unique with manufacturer</t>
  </si>
  <si>
    <t xml:space="preserve">[Model]</t>
  </si>
  <si>
    <t xml:space="preserve">signalTypeIds</t>
  </si>
  <si>
    <t xml:space="preserve">Signals the model provides</t>
  </si>
  <si>
    <t xml:space="preserve">→ signal_types._id</t>
  </si>
  <si>
    <t xml:space="preserve">["HR"]</t>
  </si>
  <si>
    <t xml:space="preserve">PRD 9</t>
  </si>
  <si>
    <t xml:space="preserve">integration</t>
  </si>
  <si>
    <t xml:space="preserve">How data arrives</t>
  </si>
  <si>
    <t xml:space="preserve">{ method: API | SDK, syncIntervalSec }</t>
  </si>
  <si>
    <t xml:space="preserve">{method:"API"}</t>
  </si>
  <si>
    <t xml:space="preserve">Master (registry) · Platform · Maintained by: BEST Platform Admin</t>
  </si>
  <si>
    <t xml:space="preserve">Device ID</t>
  </si>
  <si>
    <t xml:space="preserve">6721e0…</t>
  </si>
  <si>
    <t xml:space="preserve">modelId</t>
  </si>
  <si>
    <t xml:space="preserve">Device model</t>
  </si>
  <si>
    <t xml:space="preserve">→ device_models._id</t>
  </si>
  <si>
    <t xml:space="preserve">serialNumber</t>
  </si>
  <si>
    <t xml:space="preserve">Manufacturer serial number</t>
  </si>
  <si>
    <t xml:space="preserve">Unique across the platform</t>
  </si>
  <si>
    <t xml:space="preserve">SN-000123</t>
  </si>
  <si>
    <t xml:space="preserve">Clinic it is registered to</t>
  </si>
  <si>
    <t xml:space="preserve">→ organizations._id; empty while in BEST stock</t>
  </si>
  <si>
    <t xml:space="preserve">locationId</t>
  </si>
  <si>
    <t xml:space="preserve">Location it is kept at</t>
  </si>
  <si>
    <t xml:space="preserve">→ locations._id; required when orgId is set</t>
  </si>
  <si>
    <t xml:space="preserve">Name shown to the therapist</t>
  </si>
  <si>
    <t xml:space="preserve">Unique within the location</t>
  </si>
  <si>
    <t xml:space="preserve">Wearable 3</t>
  </si>
  <si>
    <t xml:space="preserve">Device status</t>
  </si>
  <si>
    <t xml:space="preserve">InStock | Registered | Faulty | Retired</t>
  </si>
  <si>
    <t xml:space="preserve">Registered</t>
  </si>
  <si>
    <t xml:space="preserve">currentSessionId</t>
  </si>
  <si>
    <t xml:space="preserve">Session it is linked to now</t>
  </si>
  <si>
    <t xml:space="preserve">Set at session start, cleared at session end; never linked to a client</t>
  </si>
  <si>
    <t xml:space="preserve">registeredAt</t>
  </si>
  <si>
    <t xml:space="preserve">When registered to the clinic</t>
  </si>
  <si>
    <t xml:space="preserve">HR</t>
  </si>
  <si>
    <t xml:space="preserve">Heart rate</t>
  </si>
  <si>
    <t xml:space="preserve">PRD 8.5</t>
  </si>
  <si>
    <t xml:space="preserve">unit</t>
  </si>
  <si>
    <t xml:space="preserve">Unit</t>
  </si>
  <si>
    <t xml:space="preserve">bpm</t>
  </si>
  <si>
    <t xml:space="preserve">deviceKind</t>
  </si>
  <si>
    <t xml:space="preserve">Where it comes from</t>
  </si>
  <si>
    <t xml:space="preserve">Wearable | RoomAudio | Environment</t>
  </si>
  <si>
    <t xml:space="preserve">Master (clinically approved) · Platform · Maintained by: BEST clinical lead</t>
  </si>
  <si>
    <t xml:space="preserve">Range ID</t>
  </si>
  <si>
    <t xml:space="preserve">PRD 5.2</t>
  </si>
  <si>
    <t xml:space="preserve">signalTypeId</t>
  </si>
  <si>
    <t xml:space="preserve">Signal</t>
  </si>
  <si>
    <t xml:space="preserve">{ minYears, maxYears }; no overlap per signal and version</t>
  </si>
  <si>
    <t xml:space="preserve">low</t>
  </si>
  <si>
    <t xml:space="preserve">number</t>
  </si>
  <si>
    <t xml:space="preserve">Lower reference value</t>
  </si>
  <si>
    <t xml:space="preserve">PRD 8.13</t>
  </si>
  <si>
    <t xml:space="preserve">high</t>
  </si>
  <si>
    <t xml:space="preserve">Upper reference value</t>
  </si>
  <si>
    <t xml:space="preserve">Greater than low</t>
  </si>
  <si>
    <t xml:space="preserve">Clinical source</t>
  </si>
  <si>
    <t xml:space="preserve">Named by BEST clinical lead</t>
  </si>
  <si>
    <t xml:space="preserve">Parameter set version</t>
  </si>
  <si>
    <t xml:space="preserve">Matches clinical_parameters.version</t>
  </si>
  <si>
    <t xml:space="preserve">approvedBy</t>
  </si>
  <si>
    <t xml:space="preserve">Clinical approver</t>
  </si>
  <si>
    <t xml:space="preserve">approvedAt</t>
  </si>
  <si>
    <t xml:space="preserve">Approval date</t>
  </si>
  <si>
    <t xml:space="preserve">Draft | Active | Superseded</t>
  </si>
  <si>
    <t xml:space="preserve">Configuration (clinically approved) · Platform · Maintained by: BEST clinical lead</t>
  </si>
  <si>
    <t xml:space="preserve">Parameter set ID</t>
  </si>
  <si>
    <t xml:space="preserve">Version</t>
  </si>
  <si>
    <t xml:space="preserve">Unique; one Active at a time</t>
  </si>
  <si>
    <t xml:space="preserve">sustainedTrendWindowSec</t>
  </si>
  <si>
    <t xml:space="preserve">Sustained-trend window</t>
  </si>
  <si>
    <t xml:space="preserve">alertThrottleWindowSec</t>
  </si>
  <si>
    <t xml:space="preserve">Alert throttling window</t>
  </si>
  <si>
    <t xml:space="preserve">maxDataAgeSec</t>
  </si>
  <si>
    <t xml:space="preserve">Maximum data age for live indicators</t>
  </si>
  <si>
    <t xml:space="preserve">No alerts on older data</t>
  </si>
  <si>
    <t xml:space="preserve">ELEVATED</t>
  </si>
  <si>
    <t xml:space="preserve">PRD 5.3</t>
  </si>
  <si>
    <t xml:space="preserve">text</t>
  </si>
  <si>
    <t xml:space="preserve">Phrase shown</t>
  </si>
  <si>
    <t xml:space="preserve">Elevated</t>
  </si>
  <si>
    <t xml:space="preserve">usage</t>
  </si>
  <si>
    <t xml:space="preserve">Where it may be used</t>
  </si>
  <si>
    <t xml:space="preserve">Label | Alert | Summary</t>
  </si>
  <si>
    <t xml:space="preserve">["Label","Alert"]</t>
  </si>
  <si>
    <t xml:space="preserve">Master · Platform + Clinic · Maintained by: BEST defaults: BEST Platform Admin. Clinic reasons: Org Admin</t>
  </si>
  <si>
    <t xml:space="preserve">Reason ID</t>
  </si>
  <si>
    <t xml:space="preserve">Clinic for a clinic-added reason</t>
  </si>
  <si>
    <t xml:space="preserve">→ organizations._id; empty = BEST default</t>
  </si>
  <si>
    <t xml:space="preserve">list</t>
  </si>
  <si>
    <t xml:space="preserve">Which list</t>
  </si>
  <si>
    <t xml:space="preserve">NoShow | Cancellation | ChecklistItemNotDone</t>
  </si>
  <si>
    <t xml:space="preserve">NoShow</t>
  </si>
  <si>
    <t xml:space="preserve">D-017; D-022</t>
  </si>
  <si>
    <t xml:space="preserve">Reason shown</t>
  </si>
  <si>
    <t xml:space="preserve">Unique within the list for the clinic</t>
  </si>
  <si>
    <t xml:space="preserve">Client unwell</t>
  </si>
  <si>
    <t xml:space="preserve">isOther</t>
  </si>
  <si>
    <t xml:space="preserve">‘Other’ with free text</t>
  </si>
  <si>
    <t xml:space="preserve">One per list, BEST default, cannot be retired</t>
  </si>
  <si>
    <t xml:space="preserve">Active | Retired. A clinic can retire its own reasons and hide BEST defaults</t>
  </si>
  <si>
    <t xml:space="preserve">School name</t>
  </si>
  <si>
    <t xml:space="preserve">Indexes</t>
  </si>
  <si>
    <t xml:space="preserve">Unique rules, fast lookups and automatic clean-up (TTL)</t>
  </si>
  <si>
    <t xml:space="preserve">Index</t>
  </si>
  <si>
    <t xml:space="preserve">Options</t>
  </si>
  <si>
    <t xml:space="preserve">Why</t>
  </si>
  <si>
    <t xml:space="preserve">{ ein: 1 }</t>
  </si>
  <si>
    <t xml:space="preserve">Block duplicate clinics (D-018)</t>
  </si>
  <si>
    <t xml:space="preserve">{ npi: 1 }</t>
  </si>
  <si>
    <t xml:space="preserve">{ orgId: 1, name: 1 }</t>
  </si>
  <si>
    <t xml:space="preserve">Location names unique within a clinic</t>
  </si>
  <si>
    <t xml:space="preserve">{ orgId: 1, status: 1 }</t>
  </si>
  <si>
    <t xml:space="preserve">Unique, partial: status = Active</t>
  </si>
  <si>
    <t xml:space="preserve">Only one active licence per clinic</t>
  </si>
  <si>
    <t xml:space="preserve">Unique, case-insensitive collation</t>
  </si>
  <si>
    <t xml:space="preserve">Role names unique within a clinic</t>
  </si>
  <si>
    <t xml:space="preserve">—</t>
  </si>
  <si>
    <t xml:space="preserve">List a clinic’s roles</t>
  </si>
  <si>
    <t xml:space="preserve">{ roleId: 1, version: 1 }</t>
  </si>
  <si>
    <t xml:space="preserve">One snapshot per version</t>
  </si>
  <si>
    <t xml:space="preserve">{ orgId: 1, label: 1 }</t>
  </si>
  <si>
    <t xml:space="preserve">Field labels unique within a clinic</t>
  </si>
  <si>
    <t xml:space="preserve">{ email: 1 }</t>
  </si>
  <si>
    <t xml:space="preserve">One account per email across the platform (BR-02)</t>
  </si>
  <si>
    <t xml:space="preserve">Users list filters; active-user count</t>
  </si>
  <si>
    <t xml:space="preserve">{ orgId: 1, roleId: 1 }</t>
  </si>
  <si>
    <t xml:space="preserve">Find users with a role (role retire check)</t>
  </si>
  <si>
    <t xml:space="preserve">{ orgId: 1, locationIds: 1 }</t>
  </si>
  <si>
    <t xml:space="preserve">Find users at a location (location close check)</t>
  </si>
  <si>
    <t xml:space="preserve">{ expiresAt: 1 }</t>
  </si>
  <si>
    <t xml:space="preserve">TTL (expireAfterSeconds: 0)</t>
  </si>
  <si>
    <t xml:space="preserve">Remove expired codes and links automatically</t>
  </si>
  <si>
    <t xml:space="preserve">{ userId: 1, type: 1 }</t>
  </si>
  <si>
    <t xml:space="preserve">Find a user’s latest code or link</t>
  </si>
  <si>
    <t xml:space="preserve">Remove old sessions automatically</t>
  </si>
  <si>
    <t xml:space="preserve">{ userId: 1, endedAt: 1 }</t>
  </si>
  <si>
    <t xml:space="preserve">End open sessions on deactivation</t>
  </si>
  <si>
    <t xml:space="preserve">{ orgId: 1, at: -1 }</t>
  </si>
  <si>
    <t xml:space="preserve">Audit log screen</t>
  </si>
  <si>
    <t xml:space="preserve">{ "target.id": 1, at: -1 }</t>
  </si>
  <si>
    <t xml:space="preserve">History of one record</t>
  </si>
  <si>
    <t xml:space="preserve">{ orgId: 1, code: 1 }</t>
  </si>
  <si>
    <t xml:space="preserve">Consent codes unique per clinic (BEST items have empty orgId)</t>
  </si>
  <si>
    <t xml:space="preserve">{ assessmentTypeId: 1, levelCode: 1, "ageBand.minYears": 1 }</t>
  </si>
  <si>
    <t xml:space="preserve">One profile per age band and level</t>
  </si>
  <si>
    <t xml:space="preserve">{ orgId: 1, profileId: 1, status: 1 }</t>
  </si>
  <si>
    <t xml:space="preserve">Find the checklist for a client’s profile</t>
  </si>
  <si>
    <t xml:space="preserve">{ manufacturer: 1, model: 1 }</t>
  </si>
  <si>
    <t xml:space="preserve">One record per model</t>
  </si>
  <si>
    <t xml:space="preserve">{ serialNumber: 1 }</t>
  </si>
  <si>
    <t xml:space="preserve">One record per physical device</t>
  </si>
  <si>
    <t xml:space="preserve">{ orgId: 1, locationId: 1, status: 1, currentSessionId: 1 }</t>
  </si>
  <si>
    <t xml:space="preserve">Free devices at a location at session start</t>
  </si>
  <si>
    <t xml:space="preserve">{ signalTypeId: 1, version: 1, "ageBand.minYears": 1 }</t>
  </si>
  <si>
    <t xml:space="preserve">One range per signal, age band and version</t>
  </si>
  <si>
    <t xml:space="preserve">{ status: 1 }</t>
  </si>
  <si>
    <t xml:space="preserve">Only one active parameter set</t>
  </si>
  <si>
    <t xml:space="preserve">{ orgId: 1, list: 1, label: 1 }</t>
  </si>
  <si>
    <t xml:space="preserve">Reason labels unique per list and clinic</t>
  </si>
  <si>
    <t xml:space="preserve">Design notes</t>
  </si>
  <si>
    <t xml:space="preserve">Choices behind the schema, and points to confirm</t>
  </si>
  <si>
    <t xml:space="preserve">Topic</t>
  </si>
  <si>
    <t xml:space="preserve">Note</t>
  </si>
  <si>
    <t xml:space="preserve">Shared collections. Every clinic-level document carries orgId, and every query from the clinic app filters by the signed-in user’s orgId. Platform documents (permissions, certification types, settings, predefined roles) have no orgId.</t>
  </si>
  <si>
    <t xml:space="preserve">Embedded vs separate</t>
  </si>
  <si>
    <t xml:space="preserve">Embedded where data is always read with its parent and has a small bounded size: a role’s permissions, a user’s locations, certifications and clinic field values. Separate collections where data grows over time or is queried on its own: role versions, licences, tokens, login sessions, audit events.</t>
  </si>
  <si>
    <t xml:space="preserve">Active-user count</t>
  </si>
  <si>
    <t xml:space="preserve">Calculated, not stored: count of users in the clinic with status Invited, Active or Locked (FSD 1.3). Compared with licences.activeUserLimit of the clinic’s Active licence before creating or reactivating a user.</t>
  </si>
  <si>
    <t xml:space="preserve">One role per user</t>
  </si>
  <si>
    <t xml:space="preserve">users.roleId holds exactly one role (D-019). A person with supervisor and admin duties gets a combined custom role.</t>
  </si>
  <si>
    <t xml:space="preserve">Role changes</t>
  </si>
  <si>
    <t xml:space="preserve">Editing a role increases roles.version and writes a role_versions snapshot. Users point to the role, so the change applies to all of them. Updates to predefined roles apply to every clinic (D-019).</t>
  </si>
  <si>
    <t xml:space="preserve">Never hard-delete</t>
  </si>
  <si>
    <t xml:space="preserve">Master data is retired or closed, users are deactivated. Only short-lived collections (auth_tokens, login_sessions) are removed automatically by TTL indexes.</t>
  </si>
  <si>
    <t xml:space="preserve">Passwords and codes</t>
  </si>
  <si>
    <t xml:space="preserve">Stored only as hashes (bcrypt or Argon2). Temporary passwords, email codes and reset tokens are never stored or logged in plain form.</t>
  </si>
  <si>
    <t xml:space="preserve">Security (HIPAA)</t>
  </si>
  <si>
    <t xml:space="preserve">Encryption at rest and in transit; role-based database users; audit_events is append-only (insert-only database user). If hosted on MongoDB Atlas, sign MongoDB’s BAA and use a dedicated cluster.</t>
  </si>
  <si>
    <t xml:space="preserve">Audit retention</t>
  </si>
  <si>
    <t xml:space="preserve">Proposed: keep audit_events for at least 6 years, in line with HIPAA documentation retention. To confirm with BEST.</t>
  </si>
  <si>
    <t xml:space="preserve">Validation</t>
  </si>
  <si>
    <t xml:space="preserve">Each collection gets a MongoDB $jsonSchema validator matching the Required and Rules columns, plus application checks for rules that span documents (e.g. role in use, location in use).</t>
  </si>
  <si>
    <t xml:space="preserve">Role only (D-021, awaiting BEST)</t>
  </si>
  <si>
    <t xml:space="preserve">Users carry no individual permission changes: access comes only from users.roleId, and roles hold ticked permissions with a scope (FSD v0.4 BR-07, BR-26). If BEST asked for per-user changes, a field users.permissionOverrides would be needed.</t>
  </si>
  <si>
    <t xml:space="preserve">Rules across documents</t>
  </si>
  <si>
    <t xml:space="preserve">Checked by the application, not the database: the last user who can manage users cannot be deactivated (BR-05); a role in use cannot be retired; a location in use cannot be closed; the active-user limit before create or reactivate (BR-03, BR-04).</t>
  </si>
  <si>
    <t xml:space="preserve">Platform master data (D-022)</t>
  </si>
  <si>
    <t xml:space="preserve">BEST owns the clinical and AI-facing lists (assessment types, client profiles, the checklist library, signals, reference ranges, clinical parameters, display phrases) and the device registry. Clinics can add consent items (tracked, never blocking), reasons and client fields, copy and adapt checklists, and set their own assessment validity.</t>
  </si>
  <si>
    <t xml:space="preserve">Platform + clinic lists</t>
  </si>
  <si>
    <t xml:space="preserve">consent_item_types, checklists and reason_codes hold BEST entries (orgId empty) and clinic entries (orgId set) in one collection. The clinic app reads both: { orgId: { $in: [null, myOrgId] } }.</t>
  </si>
  <si>
    <t xml:space="preserve">Clinical approval</t>
  </si>
  <si>
    <t xml:space="preserve">reference_ranges, clinical_parameters and display_phrases change only through a new approved version by BEST’s clinical lead; each change is audit-logged.</t>
  </si>
  <si>
    <t xml:space="preserve">Sessions keep a copy</t>
  </si>
  <si>
    <t xml:space="preserve">A session stores a copy of the checklist items and the parameter version it used, so later changes to master data never alter past sessions.</t>
  </si>
  <si>
    <t xml:space="preserve">Devices</t>
  </si>
  <si>
    <t xml:space="preserve">A device is linked to a session at start (devices.currentSessionId) and released at end. It is never tied to a client.</t>
  </si>
  <si>
    <t xml:space="preserve">Not sent to the AI service</t>
  </si>
  <si>
    <t xml:space="preserve">client_field_definitions values stay inside the platform; they may hold PHI.</t>
  </si>
  <si>
    <t xml:space="preserve">Point to confirm (D-022)</t>
  </si>
  <si>
    <t xml:space="preserve">Assessment levels for client profiles: VB-MAPP has levels; ABLLS-R and Vineland need a level definition from BEST’s clinical lead. Assessment validity is set freely by each clinic, with no floor or ceiling.</t>
  </si>
  <si>
    <t xml:space="preserve">Not yet covered</t>
  </si>
  <si>
    <t xml:space="preserve">A master list of licence plans and the email templates are referenced but not modelled here; they can be added when the licensing and notification FSDs are written.</t>
  </si>
  <si>
    <t xml:space="preserve">Point to confirm</t>
  </si>
  <si>
    <t xml:space="preserve">FSD defines an active user as Invited, Active or Locked, so an Invite expired user frees a place. Confirm this is intended.</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</si>
</sst>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Calibri"/>
      <family val="0"/>
      <charset val="1"/>
    </font>
    <font>
      <i val="true"/>
      <sz val="10"/>
      <color rgb="FF595959"/>
      <name val="Calibri"/>
      <family val="0"/>
      <charset val="1"/>
    </font>
    <font>
      <b val="true"/>
      <sz val="11"/>
      <color rgb="FFFFFFFF"/>
      <name val="Calibri"/>
      <family val="0"/>
      <charset val="1"/>
    </font>
    <font>
      <b val="true"/>
      <sz val="10.5"/>
      <color rgb="FF1F3864"/>
      <name val="Calibri"/>
      <family val="0"/>
      <charset val="1"/>
    </font>
    <font>
      <sz val="10.5"/>
      <color rgb="FF262626"/>
      <name val="Calibri"/>
      <family val="0"/>
      <charset val="1"/>
    </font>
    <font>
      <sz val="10.5"/>
      <color rgb="FF1F6FD1"/>
      <name val="Calibri"/>
      <family val="0"/>
      <charset val="1"/>
    </font>
    <font>
      <b val="true"/>
      <sz val="12"/>
      <color rgb="FF1F3864"/>
      <name val="Calibri"/>
      <family val="0"/>
      <charset val="1"/>
    </font>
    <font>
      <sz val="10"/>
      <color rgb="FF1F6FD1"/>
      <name val="Calibri"/>
      <family val="0"/>
      <charset val="1"/>
    </font>
    <font>
      <b val="true"/>
      <sz val="11"/>
      <color rgb="FF1F3864"/>
      <name val="Calibri"/>
      <family val="0"/>
      <charset val="1"/>
    </font>
    <font>
      <sz val="10.5"/>
      <name val="Calibri"/>
      <family val="0"/>
      <charset val="1"/>
    </font>
  </fonts>
  <fills count="8">
    <fill>
      <patternFill patternType="none"/>
    </fill>
    <fill>
      <patternFill patternType="gray125"/>
    </fill>
    <fill>
      <patternFill patternType="solid">
        <fgColor rgb="FF1F3864"/>
        <bgColor rgb="FF262626"/>
      </patternFill>
    </fill>
    <fill>
      <patternFill patternType="solid">
        <fgColor rgb="FFE8F1FC"/>
        <bgColor rgb="FFF1F2F4"/>
      </patternFill>
    </fill>
    <fill>
      <patternFill patternType="solid">
        <fgColor rgb="FFF1F2F4"/>
        <bgColor rgb="FFEFEBF8"/>
      </patternFill>
    </fill>
    <fill>
      <patternFill patternType="solid">
        <fgColor rgb="FFEFEBF8"/>
        <bgColor rgb="FFF1F2F4"/>
      </patternFill>
    </fill>
    <fill>
      <patternFill patternType="solid">
        <fgColor rgb="FFE3F5EC"/>
        <bgColor rgb="FFE8F1FC"/>
      </patternFill>
    </fill>
    <fill>
      <patternFill patternType="solid">
        <fgColor rgb="FFFAEEDA"/>
        <bgColor rgb="FFF1F2F4"/>
      </patternFill>
    </fill>
  </fills>
  <borders count="2">
    <border diagonalUp="false" diagonalDown="false">
      <left/>
      <right/>
      <top/>
      <bottom/>
      <diagonal/>
    </border>
    <border diagonalUp="false" diagonalDown="false">
      <left/>
      <right/>
      <top/>
      <bottom style="thin">
        <color rgb="FFDCE3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7DD"/>
      <rgbColor rgb="FF9999FF"/>
      <rgbColor rgb="FF993366"/>
      <rgbColor rgb="FFFAEEDA"/>
      <rgbColor rgb="FFE3F5EC"/>
      <rgbColor rgb="FF660066"/>
      <rgbColor rgb="FFFF8080"/>
      <rgbColor rgb="FF1F6FD1"/>
      <rgbColor rgb="FFDCE3EC"/>
      <rgbColor rgb="FF000080"/>
      <rgbColor rgb="FFFF00FF"/>
      <rgbColor rgb="FFFFFF00"/>
      <rgbColor rgb="FF00FFFF"/>
      <rgbColor rgb="FF800080"/>
      <rgbColor rgb="FF800000"/>
      <rgbColor rgb="FF008080"/>
      <rgbColor rgb="FF0000FF"/>
      <rgbColor rgb="FF00CCFF"/>
      <rgbColor rgb="FFE8F1FC"/>
      <rgbColor rgb="FFF1F2F4"/>
      <rgbColor rgb="FFEFEBF8"/>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1E9E63"/>
      <rgbColor rgb="FF003300"/>
      <rgbColor rgb="FF333300"/>
      <rgbColor rgb="FF993300"/>
      <rgbColor rgb="FF993366"/>
      <rgbColor rgb="FF59595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160920</xdr:rowOff>
    </xdr:from>
    <xdr:to>
      <xdr:col>17</xdr:col>
      <xdr:colOff>302400</xdr:colOff>
      <xdr:row>46</xdr:row>
      <xdr:rowOff>157320</xdr:rowOff>
    </xdr:to>
    <xdr:pic>
      <xdr:nvPicPr>
        <xdr:cNvPr id="0" name="Image 1" descr="Picture"/>
        <xdr:cNvPicPr/>
      </xdr:nvPicPr>
      <xdr:blipFill>
        <a:blip r:embed="rId1"/>
        <a:stretch/>
      </xdr:blipFill>
      <xdr:spPr>
        <a:xfrm>
          <a:off x="0" y="762120"/>
          <a:ext cx="10698120" cy="8188200"/>
        </a:xfrm>
        <a:prstGeom prst="rect">
          <a:avLst/>
        </a:prstGeom>
        <a:ln w="0">
          <a:noFill/>
        </a:ln>
      </xdr:spPr>
    </xdr:pic>
    <xdr:clientData/>
  </xdr:twoCellAnchor>
  <xdr:twoCellAnchor editAs="oneCell">
    <xdr:from>
      <xdr:col>0</xdr:col>
      <xdr:colOff>0</xdr:colOff>
      <xdr:row>49</xdr:row>
      <xdr:rowOff>160560</xdr:rowOff>
    </xdr:from>
    <xdr:to>
      <xdr:col>17</xdr:col>
      <xdr:colOff>302400</xdr:colOff>
      <xdr:row>87</xdr:row>
      <xdr:rowOff>53640</xdr:rowOff>
    </xdr:to>
    <xdr:pic>
      <xdr:nvPicPr>
        <xdr:cNvPr id="1" name="Image 2" descr="Picture"/>
        <xdr:cNvPicPr/>
      </xdr:nvPicPr>
      <xdr:blipFill>
        <a:blip r:embed="rId2"/>
        <a:stretch/>
      </xdr:blipFill>
      <xdr:spPr>
        <a:xfrm>
          <a:off x="0" y="9524880"/>
          <a:ext cx="10698120" cy="7131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16"/>
    <col collapsed="false" customWidth="true" hidden="false" outlineLevel="0" max="4" min="4" style="0" width="24"/>
    <col collapsed="false" customWidth="true" hidden="false" outlineLevel="0" max="5" min="5" style="0" width="34"/>
    <col collapsed="false" customWidth="true" hidden="false" outlineLevel="0" max="6" min="6" style="0" width="56"/>
    <col collapsed="false" customWidth="true" hidden="false" outlineLevel="0" max="8" min="7" style="0" width="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row>
    <row r="5" customFormat="false" ht="26.85" hidden="false" customHeight="false" outlineLevel="0" collapsed="false">
      <c r="A5" s="4" t="s">
        <v>10</v>
      </c>
      <c r="B5" s="5" t="s">
        <v>11</v>
      </c>
      <c r="C5" s="6" t="s">
        <v>12</v>
      </c>
      <c r="D5" s="6" t="s">
        <v>13</v>
      </c>
      <c r="E5" s="5" t="s">
        <v>14</v>
      </c>
      <c r="F5" s="5" t="s">
        <v>15</v>
      </c>
      <c r="G5" s="5" t="n">
        <v>15</v>
      </c>
      <c r="H5" s="7" t="str">
        <f aca="false">HYPERLINK("#'organizations'!A1","Open")</f>
        <v>Open</v>
      </c>
    </row>
    <row r="6" customFormat="false" ht="15" hidden="false" customHeight="false" outlineLevel="0" collapsed="false">
      <c r="A6" s="4" t="s">
        <v>16</v>
      </c>
      <c r="B6" s="5" t="s">
        <v>11</v>
      </c>
      <c r="C6" s="6" t="s">
        <v>17</v>
      </c>
      <c r="D6" s="6" t="s">
        <v>13</v>
      </c>
      <c r="E6" s="5" t="s">
        <v>18</v>
      </c>
      <c r="F6" s="5" t="s">
        <v>19</v>
      </c>
      <c r="G6" s="5" t="n">
        <v>11</v>
      </c>
      <c r="H6" s="7" t="str">
        <f aca="false">HYPERLINK("#'locations'!A1","Open")</f>
        <v>Open</v>
      </c>
    </row>
    <row r="7" customFormat="false" ht="15" hidden="false" customHeight="false" outlineLevel="0" collapsed="false">
      <c r="A7" s="4" t="s">
        <v>20</v>
      </c>
      <c r="B7" s="5" t="s">
        <v>11</v>
      </c>
      <c r="C7" s="6" t="s">
        <v>17</v>
      </c>
      <c r="D7" s="6" t="s">
        <v>13</v>
      </c>
      <c r="E7" s="5" t="s">
        <v>21</v>
      </c>
      <c r="F7" s="5" t="s">
        <v>22</v>
      </c>
      <c r="G7" s="5" t="n">
        <v>14</v>
      </c>
      <c r="H7" s="7" t="str">
        <f aca="false">HYPERLINK("#'licences'!A1","Open")</f>
        <v>Open</v>
      </c>
    </row>
    <row r="8" customFormat="false" ht="15" hidden="false" customHeight="false" outlineLevel="0" collapsed="false">
      <c r="A8" s="4" t="s">
        <v>23</v>
      </c>
      <c r="B8" s="5" t="s">
        <v>11</v>
      </c>
      <c r="C8" s="6" t="s">
        <v>12</v>
      </c>
      <c r="D8" s="6" t="s">
        <v>24</v>
      </c>
      <c r="E8" s="5" t="s">
        <v>25</v>
      </c>
      <c r="F8" s="5" t="s">
        <v>26</v>
      </c>
      <c r="G8" s="5" t="n">
        <v>10</v>
      </c>
      <c r="H8" s="7" t="str">
        <f aca="false">HYPERLINK("#'permissions'!A1","Open")</f>
        <v>Open</v>
      </c>
    </row>
    <row r="9" customFormat="false" ht="15" hidden="false" customHeight="false" outlineLevel="0" collapsed="false">
      <c r="A9" s="4" t="s">
        <v>27</v>
      </c>
      <c r="B9" s="5" t="s">
        <v>11</v>
      </c>
      <c r="C9" s="6" t="s">
        <v>28</v>
      </c>
      <c r="D9" s="6" t="s">
        <v>13</v>
      </c>
      <c r="E9" s="5" t="s">
        <v>29</v>
      </c>
      <c r="F9" s="5" t="s">
        <v>30</v>
      </c>
      <c r="G9" s="5" t="n">
        <v>14</v>
      </c>
      <c r="H9" s="7" t="str">
        <f aca="false">HYPERLINK("#'roles'!A1","Open")</f>
        <v>Open</v>
      </c>
    </row>
    <row r="10" customFormat="false" ht="15" hidden="false" customHeight="false" outlineLevel="0" collapsed="false">
      <c r="A10" s="8" t="s">
        <v>31</v>
      </c>
      <c r="B10" s="5" t="s">
        <v>11</v>
      </c>
      <c r="C10" s="9" t="s">
        <v>28</v>
      </c>
      <c r="D10" s="9" t="s">
        <v>32</v>
      </c>
      <c r="E10" s="5" t="s">
        <v>33</v>
      </c>
      <c r="F10" s="5" t="s">
        <v>34</v>
      </c>
      <c r="G10" s="5" t="n">
        <v>7</v>
      </c>
      <c r="H10" s="7" t="str">
        <f aca="false">HYPERLINK("#'role_versions'!A1","Open")</f>
        <v>Open</v>
      </c>
    </row>
    <row r="11" customFormat="false" ht="15" hidden="false" customHeight="false" outlineLevel="0" collapsed="false">
      <c r="A11" s="4" t="s">
        <v>35</v>
      </c>
      <c r="B11" s="5" t="s">
        <v>11</v>
      </c>
      <c r="C11" s="6" t="s">
        <v>12</v>
      </c>
      <c r="D11" s="6" t="s">
        <v>13</v>
      </c>
      <c r="E11" s="5" t="s">
        <v>36</v>
      </c>
      <c r="F11" s="5" t="s">
        <v>37</v>
      </c>
      <c r="G11" s="5" t="n">
        <v>11</v>
      </c>
      <c r="H11" s="7" t="str">
        <f aca="false">HYPERLINK("#'certification_types'!A1","Open")</f>
        <v>Open</v>
      </c>
    </row>
    <row r="12" customFormat="false" ht="15" hidden="false" customHeight="false" outlineLevel="0" collapsed="false">
      <c r="A12" s="4" t="s">
        <v>38</v>
      </c>
      <c r="B12" s="5" t="s">
        <v>11</v>
      </c>
      <c r="C12" s="6" t="s">
        <v>17</v>
      </c>
      <c r="D12" s="6" t="s">
        <v>13</v>
      </c>
      <c r="E12" s="5" t="s">
        <v>39</v>
      </c>
      <c r="F12" s="5" t="s">
        <v>40</v>
      </c>
      <c r="G12" s="5" t="n">
        <v>13</v>
      </c>
      <c r="H12" s="7" t="str">
        <f aca="false">HYPERLINK("#'user_field_definitions'!A1","Open")</f>
        <v>Open</v>
      </c>
    </row>
    <row r="13" customFormat="false" ht="15" hidden="false" customHeight="false" outlineLevel="0" collapsed="false">
      <c r="A13" s="10" t="s">
        <v>41</v>
      </c>
      <c r="B13" s="5" t="s">
        <v>11</v>
      </c>
      <c r="C13" s="11" t="s">
        <v>12</v>
      </c>
      <c r="D13" s="11" t="s">
        <v>42</v>
      </c>
      <c r="E13" s="5" t="s">
        <v>36</v>
      </c>
      <c r="F13" s="5" t="s">
        <v>43</v>
      </c>
      <c r="G13" s="5" t="n">
        <v>12</v>
      </c>
      <c r="H13" s="7" t="str">
        <f aca="false">HYPERLINK("#'platform_settings'!A1","Open")</f>
        <v>Open</v>
      </c>
    </row>
    <row r="14" customFormat="false" ht="26.85" hidden="false" customHeight="false" outlineLevel="0" collapsed="false">
      <c r="A14" s="12" t="s">
        <v>44</v>
      </c>
      <c r="B14" s="5" t="s">
        <v>11</v>
      </c>
      <c r="C14" s="13" t="s">
        <v>17</v>
      </c>
      <c r="D14" s="13" t="s">
        <v>45</v>
      </c>
      <c r="E14" s="5" t="s">
        <v>46</v>
      </c>
      <c r="F14" s="5" t="s">
        <v>47</v>
      </c>
      <c r="G14" s="5" t="n">
        <v>19</v>
      </c>
      <c r="H14" s="7" t="str">
        <f aca="false">HYPERLINK("#'users'!A1","Open")</f>
        <v>Open</v>
      </c>
    </row>
    <row r="15" customFormat="false" ht="26.85" hidden="false" customHeight="false" outlineLevel="0" collapsed="false">
      <c r="A15" s="8" t="s">
        <v>48</v>
      </c>
      <c r="B15" s="5" t="s">
        <v>11</v>
      </c>
      <c r="C15" s="9" t="s">
        <v>17</v>
      </c>
      <c r="D15" s="9" t="s">
        <v>49</v>
      </c>
      <c r="E15" s="5" t="s">
        <v>33</v>
      </c>
      <c r="F15" s="5" t="s">
        <v>50</v>
      </c>
      <c r="G15" s="5" t="n">
        <v>9</v>
      </c>
      <c r="H15" s="7" t="str">
        <f aca="false">HYPERLINK("#'auth_tokens'!A1","Open")</f>
        <v>Open</v>
      </c>
    </row>
    <row r="16" customFormat="false" ht="15" hidden="false" customHeight="false" outlineLevel="0" collapsed="false">
      <c r="A16" s="8" t="s">
        <v>51</v>
      </c>
      <c r="B16" s="5" t="s">
        <v>11</v>
      </c>
      <c r="C16" s="9" t="s">
        <v>17</v>
      </c>
      <c r="D16" s="9" t="s">
        <v>49</v>
      </c>
      <c r="E16" s="5" t="s">
        <v>33</v>
      </c>
      <c r="F16" s="5" t="s">
        <v>52</v>
      </c>
      <c r="G16" s="5" t="n">
        <v>9</v>
      </c>
      <c r="H16" s="7" t="str">
        <f aca="false">HYPERLINK("#'login_sessions'!A1","Open")</f>
        <v>Open</v>
      </c>
    </row>
    <row r="17" customFormat="false" ht="15" hidden="false" customHeight="false" outlineLevel="0" collapsed="false">
      <c r="A17" s="12" t="s">
        <v>53</v>
      </c>
      <c r="B17" s="5" t="s">
        <v>11</v>
      </c>
      <c r="C17" s="13" t="s">
        <v>17</v>
      </c>
      <c r="D17" s="13" t="s">
        <v>54</v>
      </c>
      <c r="E17" s="5" t="s">
        <v>33</v>
      </c>
      <c r="F17" s="5" t="s">
        <v>55</v>
      </c>
      <c r="G17" s="5" t="n">
        <v>8</v>
      </c>
      <c r="H17" s="7" t="str">
        <f aca="false">HYPERLINK("#'audit_events'!A1","Open")</f>
        <v>Open</v>
      </c>
    </row>
    <row r="18" customFormat="false" ht="26.85" hidden="false" customHeight="false" outlineLevel="0" collapsed="false">
      <c r="A18" s="4" t="s">
        <v>56</v>
      </c>
      <c r="B18" s="5" t="s">
        <v>57</v>
      </c>
      <c r="C18" s="6" t="s">
        <v>28</v>
      </c>
      <c r="D18" s="6" t="s">
        <v>13</v>
      </c>
      <c r="E18" s="5" t="s">
        <v>58</v>
      </c>
      <c r="F18" s="5" t="s">
        <v>59</v>
      </c>
      <c r="G18" s="5" t="n">
        <v>15</v>
      </c>
      <c r="H18" s="7" t="str">
        <f aca="false">HYPERLINK("#'consent_item_types'!A1","Open")</f>
        <v>Open</v>
      </c>
    </row>
    <row r="19" customFormat="false" ht="26.85" hidden="false" customHeight="false" outlineLevel="0" collapsed="false">
      <c r="A19" s="4" t="s">
        <v>60</v>
      </c>
      <c r="B19" s="5" t="s">
        <v>57</v>
      </c>
      <c r="C19" s="6" t="s">
        <v>12</v>
      </c>
      <c r="D19" s="6" t="s">
        <v>13</v>
      </c>
      <c r="E19" s="5" t="s">
        <v>61</v>
      </c>
      <c r="F19" s="5" t="s">
        <v>62</v>
      </c>
      <c r="G19" s="5" t="n">
        <v>11</v>
      </c>
      <c r="H19" s="7" t="str">
        <f aca="false">HYPERLINK("#'assessment_types'!A1","Open")</f>
        <v>Open</v>
      </c>
    </row>
    <row r="20" customFormat="false" ht="26.85" hidden="false" customHeight="false" outlineLevel="0" collapsed="false">
      <c r="A20" s="10" t="s">
        <v>63</v>
      </c>
      <c r="B20" s="5" t="s">
        <v>57</v>
      </c>
      <c r="C20" s="11" t="s">
        <v>17</v>
      </c>
      <c r="D20" s="11" t="s">
        <v>42</v>
      </c>
      <c r="E20" s="5" t="s">
        <v>64</v>
      </c>
      <c r="F20" s="5" t="s">
        <v>65</v>
      </c>
      <c r="G20" s="5" t="n">
        <v>8</v>
      </c>
      <c r="H20" s="7" t="str">
        <f aca="false">HYPERLINK("#'clinic_settings'!A1","Open")</f>
        <v>Open</v>
      </c>
    </row>
    <row r="21" customFormat="false" ht="26.85" hidden="false" customHeight="false" outlineLevel="0" collapsed="false">
      <c r="A21" s="4" t="s">
        <v>66</v>
      </c>
      <c r="B21" s="5" t="s">
        <v>57</v>
      </c>
      <c r="C21" s="6" t="s">
        <v>12</v>
      </c>
      <c r="D21" s="6" t="s">
        <v>13</v>
      </c>
      <c r="E21" s="5" t="s">
        <v>67</v>
      </c>
      <c r="F21" s="5" t="s">
        <v>68</v>
      </c>
      <c r="G21" s="5" t="n">
        <v>11</v>
      </c>
      <c r="H21" s="7" t="str">
        <f aca="false">HYPERLINK("#'client_profiles'!A1","Open")</f>
        <v>Open</v>
      </c>
    </row>
    <row r="22" customFormat="false" ht="26.85" hidden="false" customHeight="false" outlineLevel="0" collapsed="false">
      <c r="A22" s="4" t="s">
        <v>69</v>
      </c>
      <c r="B22" s="5" t="s">
        <v>57</v>
      </c>
      <c r="C22" s="6" t="s">
        <v>28</v>
      </c>
      <c r="D22" s="6" t="s">
        <v>13</v>
      </c>
      <c r="E22" s="5" t="s">
        <v>70</v>
      </c>
      <c r="F22" s="5" t="s">
        <v>71</v>
      </c>
      <c r="G22" s="5" t="n">
        <v>12</v>
      </c>
      <c r="H22" s="7" t="str">
        <f aca="false">HYPERLINK("#'checklists'!A1","Open")</f>
        <v>Open</v>
      </c>
    </row>
    <row r="23" customFormat="false" ht="15" hidden="false" customHeight="false" outlineLevel="0" collapsed="false">
      <c r="A23" s="4" t="s">
        <v>72</v>
      </c>
      <c r="B23" s="5" t="s">
        <v>57</v>
      </c>
      <c r="C23" s="6" t="s">
        <v>12</v>
      </c>
      <c r="D23" s="6" t="s">
        <v>13</v>
      </c>
      <c r="E23" s="5" t="s">
        <v>36</v>
      </c>
      <c r="F23" s="5" t="s">
        <v>73</v>
      </c>
      <c r="G23" s="5" t="n">
        <v>11</v>
      </c>
      <c r="H23" s="7" t="str">
        <f aca="false">HYPERLINK("#'device_models'!A1","Open")</f>
        <v>Open</v>
      </c>
    </row>
    <row r="24" customFormat="false" ht="26.85" hidden="false" customHeight="false" outlineLevel="0" collapsed="false">
      <c r="A24" s="4" t="s">
        <v>74</v>
      </c>
      <c r="B24" s="5" t="s">
        <v>57</v>
      </c>
      <c r="C24" s="6" t="s">
        <v>12</v>
      </c>
      <c r="D24" s="6" t="s">
        <v>75</v>
      </c>
      <c r="E24" s="5" t="s">
        <v>36</v>
      </c>
      <c r="F24" s="5" t="s">
        <v>76</v>
      </c>
      <c r="G24" s="5" t="n">
        <v>13</v>
      </c>
      <c r="H24" s="7" t="str">
        <f aca="false">HYPERLINK("#'devices'!A1","Open")</f>
        <v>Open</v>
      </c>
    </row>
    <row r="25" customFormat="false" ht="15" hidden="false" customHeight="false" outlineLevel="0" collapsed="false">
      <c r="A25" s="4" t="s">
        <v>77</v>
      </c>
      <c r="B25" s="5" t="s">
        <v>57</v>
      </c>
      <c r="C25" s="6" t="s">
        <v>12</v>
      </c>
      <c r="D25" s="6" t="s">
        <v>13</v>
      </c>
      <c r="E25" s="5" t="s">
        <v>67</v>
      </c>
      <c r="F25" s="5" t="s">
        <v>78</v>
      </c>
      <c r="G25" s="5" t="n">
        <v>9</v>
      </c>
      <c r="H25" s="7" t="str">
        <f aca="false">HYPERLINK("#'signal_types'!A1","Open")</f>
        <v>Open</v>
      </c>
    </row>
    <row r="26" customFormat="false" ht="26.85" hidden="false" customHeight="false" outlineLevel="0" collapsed="false">
      <c r="A26" s="4" t="s">
        <v>79</v>
      </c>
      <c r="B26" s="5" t="s">
        <v>57</v>
      </c>
      <c r="C26" s="6" t="s">
        <v>12</v>
      </c>
      <c r="D26" s="6" t="s">
        <v>80</v>
      </c>
      <c r="E26" s="5" t="s">
        <v>67</v>
      </c>
      <c r="F26" s="5" t="s">
        <v>81</v>
      </c>
      <c r="G26" s="5" t="n">
        <v>14</v>
      </c>
      <c r="H26" s="7" t="str">
        <f aca="false">HYPERLINK("#'reference_ranges'!A1","Open")</f>
        <v>Open</v>
      </c>
    </row>
    <row r="27" customFormat="false" ht="26.85" hidden="false" customHeight="false" outlineLevel="0" collapsed="false">
      <c r="A27" s="10" t="s">
        <v>82</v>
      </c>
      <c r="B27" s="5" t="s">
        <v>57</v>
      </c>
      <c r="C27" s="11" t="s">
        <v>12</v>
      </c>
      <c r="D27" s="11" t="s">
        <v>83</v>
      </c>
      <c r="E27" s="5" t="s">
        <v>67</v>
      </c>
      <c r="F27" s="5" t="s">
        <v>84</v>
      </c>
      <c r="G27" s="5" t="n">
        <v>12</v>
      </c>
      <c r="H27" s="7" t="str">
        <f aca="false">HYPERLINK("#'clinical_parameters'!A1","Open")</f>
        <v>Open</v>
      </c>
    </row>
    <row r="28" customFormat="false" ht="26.85" hidden="false" customHeight="false" outlineLevel="0" collapsed="false">
      <c r="A28" s="4" t="s">
        <v>85</v>
      </c>
      <c r="B28" s="5" t="s">
        <v>57</v>
      </c>
      <c r="C28" s="6" t="s">
        <v>12</v>
      </c>
      <c r="D28" s="6" t="s">
        <v>80</v>
      </c>
      <c r="E28" s="5" t="s">
        <v>67</v>
      </c>
      <c r="F28" s="5" t="s">
        <v>86</v>
      </c>
      <c r="G28" s="5" t="n">
        <v>8</v>
      </c>
      <c r="H28" s="7" t="str">
        <f aca="false">HYPERLINK("#'display_phrases'!A1","Open")</f>
        <v>Open</v>
      </c>
    </row>
    <row r="29" customFormat="false" ht="26.85" hidden="false" customHeight="false" outlineLevel="0" collapsed="false">
      <c r="A29" s="4" t="s">
        <v>87</v>
      </c>
      <c r="B29" s="5" t="s">
        <v>57</v>
      </c>
      <c r="C29" s="6" t="s">
        <v>28</v>
      </c>
      <c r="D29" s="6" t="s">
        <v>13</v>
      </c>
      <c r="E29" s="5" t="s">
        <v>88</v>
      </c>
      <c r="F29" s="5" t="s">
        <v>89</v>
      </c>
      <c r="G29" s="5" t="n">
        <v>11</v>
      </c>
      <c r="H29" s="7" t="str">
        <f aca="false">HYPERLINK("#'reason_codes'!A1","Open")</f>
        <v>Open</v>
      </c>
    </row>
    <row r="30" customFormat="false" ht="26.85" hidden="false" customHeight="false" outlineLevel="0" collapsed="false">
      <c r="A30" s="4" t="s">
        <v>90</v>
      </c>
      <c r="B30" s="5" t="s">
        <v>57</v>
      </c>
      <c r="C30" s="6" t="s">
        <v>17</v>
      </c>
      <c r="D30" s="6" t="s">
        <v>13</v>
      </c>
      <c r="E30" s="5" t="s">
        <v>39</v>
      </c>
      <c r="F30" s="5" t="s">
        <v>91</v>
      </c>
      <c r="G30" s="5" t="n">
        <v>12</v>
      </c>
      <c r="H30" s="7" t="str">
        <f aca="false">HYPERLINK("#'client_field_definitions'!A1","Open")</f>
        <v>Open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7.35" hidden="false" customHeight="false" outlineLevel="0" collapsed="false">
      <c r="A1" s="1" t="s">
        <v>92</v>
      </c>
    </row>
    <row r="2" customFormat="false" ht="15" hidden="false" customHeight="false" outlineLevel="0" collapsed="false">
      <c r="A2" s="2" t="s">
        <v>93</v>
      </c>
    </row>
    <row r="4" customFormat="false" ht="15" hidden="false" customHeight="false" outlineLevel="0" collapsed="false">
      <c r="A4" s="14" t="s">
        <v>94</v>
      </c>
    </row>
    <row r="50" customFormat="false" ht="15" hidden="false" customHeight="false" outlineLevel="0" collapsed="false">
      <c r="A50" s="14" t="s">
        <v>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10</v>
      </c>
    </row>
    <row r="2" customFormat="false" ht="15" hidden="false" customHeight="false" outlineLevel="0" collapsed="false">
      <c r="A2" s="2" t="s">
        <v>96</v>
      </c>
    </row>
    <row r="3" customFormat="false" ht="15" hidden="false" customHeight="false" outlineLevel="0" collapsed="false">
      <c r="A3" s="15" t="s">
        <v>15</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107</v>
      </c>
      <c r="E6" s="18" t="s">
        <v>108</v>
      </c>
      <c r="F6" s="18" t="s">
        <v>109</v>
      </c>
      <c r="G6" s="18" t="s">
        <v>110</v>
      </c>
    </row>
    <row r="7" customFormat="false" ht="15" hidden="false" customHeight="false" outlineLevel="0" collapsed="false">
      <c r="A7" s="17" t="s">
        <v>111</v>
      </c>
      <c r="B7" s="18" t="s">
        <v>112</v>
      </c>
      <c r="C7" s="19" t="s">
        <v>106</v>
      </c>
      <c r="D7" s="18" t="s">
        <v>113</v>
      </c>
      <c r="E7" s="18" t="s">
        <v>114</v>
      </c>
      <c r="F7" s="18" t="s">
        <v>115</v>
      </c>
      <c r="G7" s="18" t="s">
        <v>110</v>
      </c>
    </row>
    <row r="8" customFormat="false" ht="15" hidden="false" customHeight="false" outlineLevel="0" collapsed="false">
      <c r="A8" s="17" t="s">
        <v>116</v>
      </c>
      <c r="B8" s="18" t="s">
        <v>112</v>
      </c>
      <c r="C8" s="19" t="s">
        <v>106</v>
      </c>
      <c r="D8" s="18" t="s">
        <v>117</v>
      </c>
      <c r="E8" s="18" t="s">
        <v>118</v>
      </c>
      <c r="F8" s="18" t="s">
        <v>119</v>
      </c>
      <c r="G8" s="18" t="s">
        <v>110</v>
      </c>
    </row>
    <row r="9" customFormat="false" ht="15" hidden="false" customHeight="false" outlineLevel="0" collapsed="false">
      <c r="A9" s="17" t="s">
        <v>120</v>
      </c>
      <c r="B9" s="18" t="s">
        <v>112</v>
      </c>
      <c r="C9" s="19" t="s">
        <v>106</v>
      </c>
      <c r="D9" s="18" t="s">
        <v>121</v>
      </c>
      <c r="E9" s="18" t="s">
        <v>122</v>
      </c>
      <c r="F9" s="18" t="s">
        <v>123</v>
      </c>
      <c r="G9" s="18" t="s">
        <v>110</v>
      </c>
    </row>
    <row r="10" customFormat="false" ht="15" hidden="false" customHeight="false" outlineLevel="0" collapsed="false">
      <c r="A10" s="17" t="s">
        <v>124</v>
      </c>
      <c r="B10" s="18" t="s">
        <v>112</v>
      </c>
      <c r="C10" s="19" t="s">
        <v>106</v>
      </c>
      <c r="D10" s="18" t="s">
        <v>125</v>
      </c>
      <c r="E10" s="18" t="s">
        <v>126</v>
      </c>
      <c r="F10" s="18" t="s">
        <v>127</v>
      </c>
      <c r="G10" s="18" t="s">
        <v>110</v>
      </c>
    </row>
    <row r="11" customFormat="false" ht="15" hidden="false" customHeight="false" outlineLevel="0" collapsed="false">
      <c r="A11" s="17" t="s">
        <v>128</v>
      </c>
      <c r="B11" s="18" t="s">
        <v>129</v>
      </c>
      <c r="C11" s="19" t="s">
        <v>106</v>
      </c>
      <c r="D11" s="18" t="s">
        <v>130</v>
      </c>
      <c r="E11" s="18" t="s">
        <v>131</v>
      </c>
      <c r="F11" s="18" t="s">
        <v>132</v>
      </c>
      <c r="G11" s="18" t="s">
        <v>110</v>
      </c>
    </row>
    <row r="12" customFormat="false" ht="26.85" hidden="false" customHeight="false" outlineLevel="0" collapsed="false">
      <c r="A12" s="17" t="s">
        <v>133</v>
      </c>
      <c r="B12" s="18" t="s">
        <v>112</v>
      </c>
      <c r="C12" s="19" t="s">
        <v>106</v>
      </c>
      <c r="D12" s="18" t="s">
        <v>134</v>
      </c>
      <c r="E12" s="18" t="s">
        <v>135</v>
      </c>
      <c r="F12" s="18" t="s">
        <v>136</v>
      </c>
      <c r="G12" s="18" t="s">
        <v>137</v>
      </c>
    </row>
    <row r="13" customFormat="false" ht="15" hidden="false" customHeight="false" outlineLevel="0" collapsed="false">
      <c r="A13" s="17" t="s">
        <v>138</v>
      </c>
      <c r="B13" s="18" t="s">
        <v>112</v>
      </c>
      <c r="C13" s="19" t="s">
        <v>106</v>
      </c>
      <c r="D13" s="18" t="s">
        <v>139</v>
      </c>
      <c r="E13" s="18" t="s">
        <v>140</v>
      </c>
      <c r="F13" s="18" t="s">
        <v>141</v>
      </c>
      <c r="G13" s="18" t="s">
        <v>110</v>
      </c>
    </row>
    <row r="14" customFormat="false" ht="15" hidden="false" customHeight="false" outlineLevel="0" collapsed="false">
      <c r="A14" s="17" t="s">
        <v>142</v>
      </c>
      <c r="B14" s="18" t="s">
        <v>129</v>
      </c>
      <c r="C14" s="19" t="s">
        <v>106</v>
      </c>
      <c r="D14" s="18" t="s">
        <v>143</v>
      </c>
      <c r="E14" s="18" t="s">
        <v>144</v>
      </c>
      <c r="F14" s="18" t="s">
        <v>132</v>
      </c>
      <c r="G14" s="18" t="s">
        <v>110</v>
      </c>
    </row>
    <row r="15" customFormat="false" ht="26.85" hidden="false" customHeight="false" outlineLevel="0" collapsed="false">
      <c r="A15" s="17" t="s">
        <v>145</v>
      </c>
      <c r="B15" s="18" t="s">
        <v>112</v>
      </c>
      <c r="C15" s="19" t="s">
        <v>106</v>
      </c>
      <c r="D15" s="18" t="s">
        <v>146</v>
      </c>
      <c r="E15" s="18" t="s">
        <v>147</v>
      </c>
      <c r="F15" s="18" t="s">
        <v>148</v>
      </c>
      <c r="G15" s="18" t="s">
        <v>110</v>
      </c>
    </row>
    <row r="16" customFormat="false" ht="26.85" hidden="false" customHeight="false" outlineLevel="0" collapsed="false">
      <c r="A16" s="17" t="s">
        <v>149</v>
      </c>
      <c r="B16" s="18" t="s">
        <v>129</v>
      </c>
      <c r="C16" s="19" t="s">
        <v>150</v>
      </c>
      <c r="D16" s="18" t="s">
        <v>151</v>
      </c>
      <c r="E16" s="18" t="s">
        <v>152</v>
      </c>
      <c r="F16" s="18" t="s">
        <v>132</v>
      </c>
      <c r="G16" s="18" t="s">
        <v>110</v>
      </c>
    </row>
    <row r="17" customFormat="false" ht="15" hidden="false" customHeight="false" outlineLevel="0" collapsed="false">
      <c r="A17" s="17" t="s">
        <v>153</v>
      </c>
      <c r="B17" s="18" t="s">
        <v>154</v>
      </c>
      <c r="C17" s="19" t="s">
        <v>106</v>
      </c>
      <c r="D17" s="18" t="s">
        <v>155</v>
      </c>
      <c r="E17" s="18" t="s">
        <v>156</v>
      </c>
      <c r="F17" s="18" t="s">
        <v>157</v>
      </c>
      <c r="G17" s="18" t="s">
        <v>158</v>
      </c>
    </row>
    <row r="18" customFormat="false" ht="15" hidden="false" customHeight="false" outlineLevel="0" collapsed="false">
      <c r="A18" s="17" t="s">
        <v>159</v>
      </c>
      <c r="B18" s="18" t="s">
        <v>105</v>
      </c>
      <c r="C18" s="19" t="s">
        <v>106</v>
      </c>
      <c r="D18" s="18" t="s">
        <v>160</v>
      </c>
      <c r="E18" s="20" t="s">
        <v>161</v>
      </c>
      <c r="F18" s="18" t="s">
        <v>162</v>
      </c>
      <c r="G18" s="18" t="s">
        <v>158</v>
      </c>
    </row>
    <row r="19" customFormat="false" ht="15" hidden="false" customHeight="false" outlineLevel="0" collapsed="false">
      <c r="A19" s="17" t="s">
        <v>163</v>
      </c>
      <c r="B19" s="18" t="s">
        <v>154</v>
      </c>
      <c r="C19" s="19" t="s">
        <v>106</v>
      </c>
      <c r="D19" s="18" t="s">
        <v>164</v>
      </c>
      <c r="E19" s="18" t="s">
        <v>156</v>
      </c>
      <c r="F19" s="18" t="s">
        <v>157</v>
      </c>
      <c r="G19" s="18" t="s">
        <v>158</v>
      </c>
    </row>
    <row r="20" customFormat="false" ht="15" hidden="false" customHeight="false" outlineLevel="0" collapsed="false">
      <c r="A20" s="17" t="s">
        <v>165</v>
      </c>
      <c r="B20" s="18" t="s">
        <v>105</v>
      </c>
      <c r="C20" s="19" t="s">
        <v>106</v>
      </c>
      <c r="D20" s="18" t="s">
        <v>166</v>
      </c>
      <c r="E20" s="20" t="s">
        <v>167</v>
      </c>
      <c r="F20" s="18" t="s">
        <v>162</v>
      </c>
      <c r="G20"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16</v>
      </c>
    </row>
    <row r="2" customFormat="false" ht="15" hidden="false" customHeight="false" outlineLevel="0" collapsed="false">
      <c r="A2" s="2" t="s">
        <v>168</v>
      </c>
    </row>
    <row r="3" customFormat="false" ht="15" hidden="false" customHeight="false" outlineLevel="0" collapsed="false">
      <c r="A3" s="15" t="s">
        <v>19</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169</v>
      </c>
      <c r="E6" s="18" t="s">
        <v>108</v>
      </c>
      <c r="F6" s="18" t="s">
        <v>170</v>
      </c>
      <c r="G6" s="18"/>
    </row>
    <row r="7" customFormat="false" ht="15" hidden="false" customHeight="false" outlineLevel="0" collapsed="false">
      <c r="A7" s="17" t="s">
        <v>171</v>
      </c>
      <c r="B7" s="18" t="s">
        <v>105</v>
      </c>
      <c r="C7" s="19" t="s">
        <v>106</v>
      </c>
      <c r="D7" s="18" t="s">
        <v>172</v>
      </c>
      <c r="E7" s="20" t="s">
        <v>173</v>
      </c>
      <c r="F7" s="18" t="s">
        <v>109</v>
      </c>
      <c r="G7" s="18" t="s">
        <v>174</v>
      </c>
    </row>
    <row r="8" customFormat="false" ht="15" hidden="false" customHeight="false" outlineLevel="0" collapsed="false">
      <c r="A8" s="17" t="s">
        <v>175</v>
      </c>
      <c r="B8" s="18" t="s">
        <v>112</v>
      </c>
      <c r="C8" s="19" t="s">
        <v>106</v>
      </c>
      <c r="D8" s="18" t="s">
        <v>176</v>
      </c>
      <c r="E8" s="18" t="s">
        <v>177</v>
      </c>
      <c r="F8" s="18" t="s">
        <v>178</v>
      </c>
      <c r="G8" s="18" t="s">
        <v>179</v>
      </c>
    </row>
    <row r="9" customFormat="false" ht="15" hidden="false" customHeight="false" outlineLevel="0" collapsed="false">
      <c r="A9" s="17" t="s">
        <v>128</v>
      </c>
      <c r="B9" s="18" t="s">
        <v>129</v>
      </c>
      <c r="C9" s="19" t="s">
        <v>106</v>
      </c>
      <c r="D9" s="18" t="s">
        <v>180</v>
      </c>
      <c r="E9" s="18" t="s">
        <v>181</v>
      </c>
      <c r="F9" s="18" t="s">
        <v>132</v>
      </c>
      <c r="G9" s="18" t="s">
        <v>110</v>
      </c>
    </row>
    <row r="10" customFormat="false" ht="15" hidden="false" customHeight="false" outlineLevel="0" collapsed="false">
      <c r="A10" s="17" t="s">
        <v>138</v>
      </c>
      <c r="B10" s="18" t="s">
        <v>112</v>
      </c>
      <c r="C10" s="19" t="s">
        <v>150</v>
      </c>
      <c r="D10" s="18" t="s">
        <v>182</v>
      </c>
      <c r="E10" s="18" t="s">
        <v>183</v>
      </c>
      <c r="F10" s="18" t="s">
        <v>184</v>
      </c>
      <c r="G10" s="18"/>
    </row>
    <row r="11" customFormat="false" ht="26.85" hidden="false" customHeight="false" outlineLevel="0" collapsed="false">
      <c r="A11" s="17" t="s">
        <v>145</v>
      </c>
      <c r="B11" s="18" t="s">
        <v>112</v>
      </c>
      <c r="C11" s="19" t="s">
        <v>106</v>
      </c>
      <c r="D11" s="18" t="s">
        <v>185</v>
      </c>
      <c r="E11" s="18" t="s">
        <v>186</v>
      </c>
      <c r="F11" s="18" t="s">
        <v>148</v>
      </c>
      <c r="G11" s="18" t="s">
        <v>187</v>
      </c>
    </row>
    <row r="12" customFormat="false" ht="15" hidden="false" customHeight="false" outlineLevel="0" collapsed="false">
      <c r="A12" s="17" t="s">
        <v>188</v>
      </c>
      <c r="B12" s="18" t="s">
        <v>154</v>
      </c>
      <c r="C12" s="19" t="s">
        <v>150</v>
      </c>
      <c r="D12" s="18" t="s">
        <v>189</v>
      </c>
      <c r="E12" s="18" t="s">
        <v>190</v>
      </c>
      <c r="F12" s="18"/>
      <c r="G12" s="18"/>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191</v>
      </c>
    </row>
    <row r="3" customFormat="false" ht="15" hidden="false" customHeight="false" outlineLevel="0" collapsed="false">
      <c r="A3" s="15" t="s">
        <v>22</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192</v>
      </c>
      <c r="E6" s="18" t="s">
        <v>108</v>
      </c>
      <c r="F6" s="18" t="s">
        <v>193</v>
      </c>
      <c r="G6" s="18" t="s">
        <v>194</v>
      </c>
    </row>
    <row r="7" customFormat="false" ht="15" hidden="false" customHeight="false" outlineLevel="0" collapsed="false">
      <c r="A7" s="17" t="s">
        <v>171</v>
      </c>
      <c r="B7" s="18" t="s">
        <v>105</v>
      </c>
      <c r="C7" s="19" t="s">
        <v>106</v>
      </c>
      <c r="D7" s="18" t="s">
        <v>17</v>
      </c>
      <c r="E7" s="20" t="s">
        <v>195</v>
      </c>
      <c r="F7" s="18" t="s">
        <v>109</v>
      </c>
      <c r="G7" s="18" t="s">
        <v>194</v>
      </c>
    </row>
    <row r="8" customFormat="false" ht="15" hidden="false" customHeight="false" outlineLevel="0" collapsed="false">
      <c r="A8" s="17" t="s">
        <v>196</v>
      </c>
      <c r="B8" s="18" t="s">
        <v>112</v>
      </c>
      <c r="C8" s="19" t="s">
        <v>106</v>
      </c>
      <c r="D8" s="18" t="s">
        <v>197</v>
      </c>
      <c r="E8" s="18" t="s">
        <v>198</v>
      </c>
      <c r="F8" s="18" t="s">
        <v>199</v>
      </c>
      <c r="G8" s="18" t="s">
        <v>194</v>
      </c>
    </row>
    <row r="9" customFormat="false" ht="15" hidden="false" customHeight="false" outlineLevel="0" collapsed="false">
      <c r="A9" s="17" t="s">
        <v>200</v>
      </c>
      <c r="B9" s="18" t="s">
        <v>201</v>
      </c>
      <c r="C9" s="19" t="s">
        <v>106</v>
      </c>
      <c r="D9" s="18" t="s">
        <v>202</v>
      </c>
      <c r="E9" s="18" t="s">
        <v>203</v>
      </c>
      <c r="F9" s="18" t="s">
        <v>204</v>
      </c>
      <c r="G9" s="18" t="s">
        <v>205</v>
      </c>
    </row>
    <row r="10" customFormat="false" ht="15" hidden="false" customHeight="false" outlineLevel="0" collapsed="false">
      <c r="A10" s="17" t="s">
        <v>206</v>
      </c>
      <c r="B10" s="18" t="s">
        <v>207</v>
      </c>
      <c r="C10" s="19" t="s">
        <v>106</v>
      </c>
      <c r="D10" s="18" t="s">
        <v>208</v>
      </c>
      <c r="E10" s="18" t="s">
        <v>209</v>
      </c>
      <c r="F10" s="18" t="s">
        <v>210</v>
      </c>
      <c r="G10" s="18" t="s">
        <v>194</v>
      </c>
    </row>
    <row r="11" customFormat="false" ht="15" hidden="false" customHeight="false" outlineLevel="0" collapsed="false">
      <c r="A11" s="17" t="s">
        <v>211</v>
      </c>
      <c r="B11" s="18" t="s">
        <v>154</v>
      </c>
      <c r="C11" s="19" t="s">
        <v>106</v>
      </c>
      <c r="D11" s="18" t="s">
        <v>212</v>
      </c>
      <c r="E11" s="18"/>
      <c r="F11" s="18" t="s">
        <v>213</v>
      </c>
      <c r="G11" s="18" t="s">
        <v>194</v>
      </c>
    </row>
    <row r="12" customFormat="false" ht="15" hidden="false" customHeight="false" outlineLevel="0" collapsed="false">
      <c r="A12" s="17" t="s">
        <v>214</v>
      </c>
      <c r="B12" s="18" t="s">
        <v>154</v>
      </c>
      <c r="C12" s="19" t="s">
        <v>106</v>
      </c>
      <c r="D12" s="18" t="s">
        <v>215</v>
      </c>
      <c r="E12" s="18" t="s">
        <v>216</v>
      </c>
      <c r="F12" s="18" t="s">
        <v>217</v>
      </c>
      <c r="G12" s="18" t="s">
        <v>194</v>
      </c>
    </row>
    <row r="13" customFormat="false" ht="26.85" hidden="false" customHeight="false" outlineLevel="0" collapsed="false">
      <c r="A13" s="17" t="s">
        <v>145</v>
      </c>
      <c r="B13" s="18" t="s">
        <v>112</v>
      </c>
      <c r="C13" s="19" t="s">
        <v>106</v>
      </c>
      <c r="D13" s="18" t="s">
        <v>218</v>
      </c>
      <c r="E13" s="18" t="s">
        <v>219</v>
      </c>
      <c r="F13" s="18" t="s">
        <v>148</v>
      </c>
      <c r="G13" s="18" t="s">
        <v>220</v>
      </c>
    </row>
    <row r="14" customFormat="false" ht="15" hidden="false" customHeight="false" outlineLevel="0" collapsed="false">
      <c r="A14" s="17" t="s">
        <v>221</v>
      </c>
      <c r="B14" s="18" t="s">
        <v>105</v>
      </c>
      <c r="C14" s="19" t="s">
        <v>150</v>
      </c>
      <c r="D14" s="18" t="s">
        <v>222</v>
      </c>
      <c r="E14" s="20" t="s">
        <v>223</v>
      </c>
      <c r="F14" s="18"/>
      <c r="G14" s="18" t="s">
        <v>220</v>
      </c>
    </row>
    <row r="15" customFormat="false" ht="15" hidden="false" customHeight="false" outlineLevel="0" collapsed="false">
      <c r="A15" s="17" t="s">
        <v>224</v>
      </c>
      <c r="B15" s="18" t="s">
        <v>112</v>
      </c>
      <c r="C15" s="19" t="s">
        <v>150</v>
      </c>
      <c r="D15" s="18" t="s">
        <v>225</v>
      </c>
      <c r="E15" s="18" t="s">
        <v>226</v>
      </c>
      <c r="F15" s="18"/>
      <c r="G15" s="18" t="s">
        <v>194</v>
      </c>
    </row>
    <row r="16" customFormat="false" ht="15" hidden="false" customHeight="false" outlineLevel="0" collapsed="false">
      <c r="A16" s="17" t="s">
        <v>153</v>
      </c>
      <c r="B16" s="18" t="s">
        <v>154</v>
      </c>
      <c r="C16" s="19" t="s">
        <v>106</v>
      </c>
      <c r="D16" s="18" t="s">
        <v>155</v>
      </c>
      <c r="E16" s="18" t="s">
        <v>156</v>
      </c>
      <c r="F16" s="18" t="s">
        <v>157</v>
      </c>
      <c r="G16" s="18" t="s">
        <v>158</v>
      </c>
    </row>
    <row r="17" customFormat="false" ht="15" hidden="false" customHeight="false" outlineLevel="0" collapsed="false">
      <c r="A17" s="17" t="s">
        <v>159</v>
      </c>
      <c r="B17" s="18" t="s">
        <v>105</v>
      </c>
      <c r="C17" s="19" t="s">
        <v>106</v>
      </c>
      <c r="D17" s="18" t="s">
        <v>160</v>
      </c>
      <c r="E17" s="20" t="s">
        <v>161</v>
      </c>
      <c r="F17" s="18" t="s">
        <v>162</v>
      </c>
      <c r="G17" s="18" t="s">
        <v>158</v>
      </c>
    </row>
    <row r="18" customFormat="false" ht="15" hidden="false" customHeight="false" outlineLevel="0" collapsed="false">
      <c r="A18" s="17" t="s">
        <v>163</v>
      </c>
      <c r="B18" s="18" t="s">
        <v>154</v>
      </c>
      <c r="C18" s="19" t="s">
        <v>106</v>
      </c>
      <c r="D18" s="18" t="s">
        <v>164</v>
      </c>
      <c r="E18" s="18" t="s">
        <v>156</v>
      </c>
      <c r="F18" s="18" t="s">
        <v>157</v>
      </c>
      <c r="G18" s="18" t="s">
        <v>158</v>
      </c>
    </row>
    <row r="19" customFormat="false" ht="15" hidden="false" customHeight="false" outlineLevel="0" collapsed="false">
      <c r="A19" s="17" t="s">
        <v>165</v>
      </c>
      <c r="B19" s="18" t="s">
        <v>105</v>
      </c>
      <c r="C19" s="19" t="s">
        <v>106</v>
      </c>
      <c r="D19" s="18" t="s">
        <v>166</v>
      </c>
      <c r="E19" s="20" t="s">
        <v>167</v>
      </c>
      <c r="F19" s="18" t="s">
        <v>162</v>
      </c>
      <c r="G19"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23</v>
      </c>
    </row>
    <row r="2" customFormat="false" ht="15" hidden="false" customHeight="false" outlineLevel="0" collapsed="false">
      <c r="A2" s="2" t="s">
        <v>227</v>
      </c>
    </row>
    <row r="3" customFormat="false" ht="15" hidden="false" customHeight="false" outlineLevel="0" collapsed="false">
      <c r="A3" s="15" t="s">
        <v>26</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112</v>
      </c>
      <c r="C6" s="19" t="s">
        <v>106</v>
      </c>
      <c r="D6" s="18" t="s">
        <v>228</v>
      </c>
      <c r="E6" s="18" t="s">
        <v>229</v>
      </c>
      <c r="F6" s="18" t="s">
        <v>230</v>
      </c>
      <c r="G6" s="18" t="s">
        <v>231</v>
      </c>
    </row>
    <row r="7" customFormat="false" ht="15" hidden="false" customHeight="false" outlineLevel="0" collapsed="false">
      <c r="A7" s="17" t="s">
        <v>232</v>
      </c>
      <c r="B7" s="18" t="s">
        <v>112</v>
      </c>
      <c r="C7" s="19" t="s">
        <v>106</v>
      </c>
      <c r="D7" s="18" t="s">
        <v>233</v>
      </c>
      <c r="E7" s="18" t="s">
        <v>234</v>
      </c>
      <c r="F7" s="18" t="s">
        <v>235</v>
      </c>
      <c r="G7" s="18" t="s">
        <v>231</v>
      </c>
    </row>
    <row r="8" customFormat="false" ht="15" hidden="false" customHeight="false" outlineLevel="0" collapsed="false">
      <c r="A8" s="17" t="s">
        <v>175</v>
      </c>
      <c r="B8" s="18" t="s">
        <v>112</v>
      </c>
      <c r="C8" s="19" t="s">
        <v>106</v>
      </c>
      <c r="D8" s="18" t="s">
        <v>236</v>
      </c>
      <c r="E8" s="18"/>
      <c r="F8" s="18" t="s">
        <v>237</v>
      </c>
      <c r="G8" s="18" t="s">
        <v>231</v>
      </c>
    </row>
    <row r="9" customFormat="false" ht="26.85" hidden="false" customHeight="false" outlineLevel="0" collapsed="false">
      <c r="A9" s="17" t="s">
        <v>238</v>
      </c>
      <c r="B9" s="18" t="s">
        <v>112</v>
      </c>
      <c r="C9" s="19" t="s">
        <v>106</v>
      </c>
      <c r="D9" s="18" t="s">
        <v>239</v>
      </c>
      <c r="E9" s="18"/>
      <c r="F9" s="18" t="s">
        <v>240</v>
      </c>
      <c r="G9" s="18" t="s">
        <v>231</v>
      </c>
    </row>
    <row r="10" customFormat="false" ht="26.85" hidden="false" customHeight="false" outlineLevel="0" collapsed="false">
      <c r="A10" s="17" t="s">
        <v>241</v>
      </c>
      <c r="B10" s="18" t="s">
        <v>112</v>
      </c>
      <c r="C10" s="19" t="s">
        <v>106</v>
      </c>
      <c r="D10" s="18" t="s">
        <v>242</v>
      </c>
      <c r="E10" s="18" t="s">
        <v>243</v>
      </c>
      <c r="F10" s="18" t="s">
        <v>244</v>
      </c>
      <c r="G10" s="18" t="s">
        <v>231</v>
      </c>
    </row>
    <row r="11" customFormat="false" ht="15" hidden="false" customHeight="false" outlineLevel="0" collapsed="false">
      <c r="A11" s="17" t="s">
        <v>245</v>
      </c>
      <c r="B11" s="18" t="s">
        <v>246</v>
      </c>
      <c r="C11" s="19" t="s">
        <v>106</v>
      </c>
      <c r="D11" s="18" t="s">
        <v>247</v>
      </c>
      <c r="E11" s="18"/>
      <c r="F11" s="18" t="s">
        <v>248</v>
      </c>
      <c r="G11" s="18" t="s">
        <v>231</v>
      </c>
    </row>
    <row r="12" customFormat="false" ht="15" hidden="false" customHeight="false" outlineLevel="0" collapsed="false">
      <c r="A12" s="17" t="s">
        <v>249</v>
      </c>
      <c r="B12" s="18" t="s">
        <v>246</v>
      </c>
      <c r="C12" s="19" t="s">
        <v>106</v>
      </c>
      <c r="D12" s="18" t="s">
        <v>250</v>
      </c>
      <c r="E12" s="18" t="s">
        <v>251</v>
      </c>
      <c r="F12" s="18" t="s">
        <v>252</v>
      </c>
      <c r="G12" s="18" t="s">
        <v>253</v>
      </c>
    </row>
    <row r="13" customFormat="false" ht="15" hidden="false" customHeight="false" outlineLevel="0" collapsed="false">
      <c r="A13" s="17" t="s">
        <v>254</v>
      </c>
      <c r="B13" s="18" t="s">
        <v>112</v>
      </c>
      <c r="C13" s="19" t="s">
        <v>106</v>
      </c>
      <c r="D13" s="18" t="s">
        <v>255</v>
      </c>
      <c r="E13" s="18" t="s">
        <v>256</v>
      </c>
      <c r="F13" s="18" t="s">
        <v>150</v>
      </c>
      <c r="G13" s="18" t="s">
        <v>257</v>
      </c>
    </row>
    <row r="14" customFormat="false" ht="15" hidden="false" customHeight="false" outlineLevel="0" collapsed="false">
      <c r="A14" s="17" t="s">
        <v>258</v>
      </c>
      <c r="B14" s="18" t="s">
        <v>112</v>
      </c>
      <c r="C14" s="19" t="s">
        <v>150</v>
      </c>
      <c r="D14" s="18" t="s">
        <v>259</v>
      </c>
      <c r="E14" s="18"/>
      <c r="F14" s="18" t="s">
        <v>260</v>
      </c>
      <c r="G14" s="18" t="s">
        <v>231</v>
      </c>
    </row>
    <row r="15" customFormat="false" ht="15" hidden="false" customHeight="false" outlineLevel="0" collapsed="false">
      <c r="A15" s="17" t="s">
        <v>145</v>
      </c>
      <c r="B15" s="18" t="s">
        <v>112</v>
      </c>
      <c r="C15" s="19" t="s">
        <v>106</v>
      </c>
      <c r="D15" s="18" t="s">
        <v>261</v>
      </c>
      <c r="E15" s="18" t="s">
        <v>262</v>
      </c>
      <c r="F15" s="18" t="s">
        <v>148</v>
      </c>
      <c r="G15" s="18" t="s">
        <v>231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27</v>
      </c>
    </row>
    <row r="2" customFormat="false" ht="15" hidden="false" customHeight="false" outlineLevel="0" collapsed="false">
      <c r="A2" s="2" t="s">
        <v>263</v>
      </c>
    </row>
    <row r="3" customFormat="false" ht="15" hidden="false" customHeight="false" outlineLevel="0" collapsed="false">
      <c r="A3" s="15" t="s">
        <v>30</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264</v>
      </c>
      <c r="E6" s="18" t="s">
        <v>108</v>
      </c>
      <c r="F6" s="18" t="s">
        <v>265</v>
      </c>
      <c r="G6" s="18" t="s">
        <v>266</v>
      </c>
    </row>
    <row r="7" customFormat="false" ht="15" hidden="false" customHeight="false" outlineLevel="0" collapsed="false">
      <c r="A7" s="17" t="s">
        <v>171</v>
      </c>
      <c r="B7" s="18" t="s">
        <v>105</v>
      </c>
      <c r="C7" s="19" t="s">
        <v>150</v>
      </c>
      <c r="D7" s="18" t="s">
        <v>267</v>
      </c>
      <c r="E7" s="20" t="s">
        <v>268</v>
      </c>
      <c r="F7" s="18" t="s">
        <v>109</v>
      </c>
      <c r="G7" s="18" t="s">
        <v>220</v>
      </c>
    </row>
    <row r="8" customFormat="false" ht="15" hidden="false" customHeight="false" outlineLevel="0" collapsed="false">
      <c r="A8" s="17" t="s">
        <v>175</v>
      </c>
      <c r="B8" s="18" t="s">
        <v>112</v>
      </c>
      <c r="C8" s="19" t="s">
        <v>106</v>
      </c>
      <c r="D8" s="18" t="s">
        <v>269</v>
      </c>
      <c r="E8" s="18" t="s">
        <v>270</v>
      </c>
      <c r="F8" s="18" t="s">
        <v>271</v>
      </c>
      <c r="G8" s="18" t="s">
        <v>272</v>
      </c>
    </row>
    <row r="9" customFormat="false" ht="26.85" hidden="false" customHeight="false" outlineLevel="0" collapsed="false">
      <c r="A9" s="17" t="s">
        <v>238</v>
      </c>
      <c r="B9" s="18" t="s">
        <v>112</v>
      </c>
      <c r="C9" s="19" t="s">
        <v>106</v>
      </c>
      <c r="D9" s="18" t="s">
        <v>273</v>
      </c>
      <c r="E9" s="18" t="s">
        <v>274</v>
      </c>
      <c r="F9" s="18" t="s">
        <v>275</v>
      </c>
      <c r="G9" s="18" t="s">
        <v>272</v>
      </c>
    </row>
    <row r="10" customFormat="false" ht="15" hidden="false" customHeight="false" outlineLevel="0" collapsed="false">
      <c r="A10" s="17" t="s">
        <v>276</v>
      </c>
      <c r="B10" s="18" t="s">
        <v>112</v>
      </c>
      <c r="C10" s="19" t="s">
        <v>106</v>
      </c>
      <c r="D10" s="18" t="s">
        <v>277</v>
      </c>
      <c r="E10" s="18" t="s">
        <v>278</v>
      </c>
      <c r="F10" s="18" t="s">
        <v>279</v>
      </c>
      <c r="G10" s="18" t="s">
        <v>280</v>
      </c>
    </row>
    <row r="11" customFormat="false" ht="26.85" hidden="false" customHeight="false" outlineLevel="0" collapsed="false">
      <c r="A11" s="17" t="s">
        <v>281</v>
      </c>
      <c r="B11" s="18" t="s">
        <v>105</v>
      </c>
      <c r="C11" s="19" t="s">
        <v>150</v>
      </c>
      <c r="D11" s="18" t="s">
        <v>282</v>
      </c>
      <c r="E11" s="20" t="s">
        <v>283</v>
      </c>
      <c r="F11" s="18" t="s">
        <v>284</v>
      </c>
      <c r="G11" s="18" t="s">
        <v>285</v>
      </c>
    </row>
    <row r="12" customFormat="false" ht="26.85" hidden="false" customHeight="false" outlineLevel="0" collapsed="false">
      <c r="A12" s="17" t="s">
        <v>23</v>
      </c>
      <c r="B12" s="18" t="s">
        <v>286</v>
      </c>
      <c r="C12" s="19" t="s">
        <v>106</v>
      </c>
      <c r="D12" s="18" t="s">
        <v>287</v>
      </c>
      <c r="E12" s="20" t="s">
        <v>288</v>
      </c>
      <c r="F12" s="18" t="s">
        <v>289</v>
      </c>
      <c r="G12" s="18" t="s">
        <v>231</v>
      </c>
    </row>
    <row r="13" customFormat="false" ht="15" hidden="false" customHeight="false" outlineLevel="0" collapsed="false">
      <c r="A13" s="17" t="s">
        <v>290</v>
      </c>
      <c r="B13" s="18" t="s">
        <v>246</v>
      </c>
      <c r="C13" s="19" t="s">
        <v>106</v>
      </c>
      <c r="D13" s="18" t="s">
        <v>291</v>
      </c>
      <c r="E13" s="18" t="s">
        <v>292</v>
      </c>
      <c r="F13" s="18" t="s">
        <v>252</v>
      </c>
      <c r="G13" s="18" t="s">
        <v>253</v>
      </c>
    </row>
    <row r="14" customFormat="false" ht="15" hidden="false" customHeight="false" outlineLevel="0" collapsed="false">
      <c r="A14" s="17" t="s">
        <v>293</v>
      </c>
      <c r="B14" s="18" t="s">
        <v>201</v>
      </c>
      <c r="C14" s="19" t="s">
        <v>106</v>
      </c>
      <c r="D14" s="18" t="s">
        <v>294</v>
      </c>
      <c r="E14" s="18" t="s">
        <v>295</v>
      </c>
      <c r="F14" s="18" t="s">
        <v>296</v>
      </c>
      <c r="G14" s="18" t="s">
        <v>220</v>
      </c>
    </row>
    <row r="15" customFormat="false" ht="26.85" hidden="false" customHeight="false" outlineLevel="0" collapsed="false">
      <c r="A15" s="17" t="s">
        <v>145</v>
      </c>
      <c r="B15" s="18" t="s">
        <v>112</v>
      </c>
      <c r="C15" s="19" t="s">
        <v>106</v>
      </c>
      <c r="D15" s="18" t="s">
        <v>297</v>
      </c>
      <c r="E15" s="18" t="s">
        <v>298</v>
      </c>
      <c r="F15" s="18" t="s">
        <v>148</v>
      </c>
      <c r="G15" s="18" t="s">
        <v>285</v>
      </c>
    </row>
    <row r="16" customFormat="false" ht="15" hidden="false" customHeight="false" outlineLevel="0" collapsed="false">
      <c r="A16" s="17" t="s">
        <v>153</v>
      </c>
      <c r="B16" s="18" t="s">
        <v>154</v>
      </c>
      <c r="C16" s="19" t="s">
        <v>106</v>
      </c>
      <c r="D16" s="18" t="s">
        <v>155</v>
      </c>
      <c r="E16" s="18" t="s">
        <v>156</v>
      </c>
      <c r="F16" s="18" t="s">
        <v>157</v>
      </c>
      <c r="G16" s="18" t="s">
        <v>158</v>
      </c>
    </row>
    <row r="17" customFormat="false" ht="15" hidden="false" customHeight="false" outlineLevel="0" collapsed="false">
      <c r="A17" s="17" t="s">
        <v>159</v>
      </c>
      <c r="B17" s="18" t="s">
        <v>105</v>
      </c>
      <c r="C17" s="19" t="s">
        <v>106</v>
      </c>
      <c r="D17" s="18" t="s">
        <v>160</v>
      </c>
      <c r="E17" s="20" t="s">
        <v>161</v>
      </c>
      <c r="F17" s="18" t="s">
        <v>162</v>
      </c>
      <c r="G17" s="18" t="s">
        <v>158</v>
      </c>
    </row>
    <row r="18" customFormat="false" ht="15" hidden="false" customHeight="false" outlineLevel="0" collapsed="false">
      <c r="A18" s="17" t="s">
        <v>163</v>
      </c>
      <c r="B18" s="18" t="s">
        <v>154</v>
      </c>
      <c r="C18" s="19" t="s">
        <v>106</v>
      </c>
      <c r="D18" s="18" t="s">
        <v>164</v>
      </c>
      <c r="E18" s="18" t="s">
        <v>156</v>
      </c>
      <c r="F18" s="18" t="s">
        <v>157</v>
      </c>
      <c r="G18" s="18" t="s">
        <v>158</v>
      </c>
    </row>
    <row r="19" customFormat="false" ht="15" hidden="false" customHeight="false" outlineLevel="0" collapsed="false">
      <c r="A19" s="17" t="s">
        <v>165</v>
      </c>
      <c r="B19" s="18" t="s">
        <v>105</v>
      </c>
      <c r="C19" s="19" t="s">
        <v>106</v>
      </c>
      <c r="D19" s="18" t="s">
        <v>166</v>
      </c>
      <c r="E19" s="20" t="s">
        <v>167</v>
      </c>
      <c r="F19" s="18" t="s">
        <v>162</v>
      </c>
      <c r="G19"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31</v>
      </c>
    </row>
    <row r="2" customFormat="false" ht="15" hidden="false" customHeight="false" outlineLevel="0" collapsed="false">
      <c r="A2" s="2" t="s">
        <v>299</v>
      </c>
    </row>
    <row r="3" customFormat="false" ht="15" hidden="false" customHeight="false" outlineLevel="0" collapsed="false">
      <c r="A3" s="15" t="s">
        <v>34</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1" t="s">
        <v>104</v>
      </c>
      <c r="B6" s="18" t="s">
        <v>105</v>
      </c>
      <c r="C6" s="19" t="s">
        <v>106</v>
      </c>
      <c r="D6" s="18" t="s">
        <v>300</v>
      </c>
      <c r="E6" s="18" t="s">
        <v>108</v>
      </c>
      <c r="F6" s="18"/>
      <c r="G6" s="18"/>
    </row>
    <row r="7" customFormat="false" ht="15" hidden="false" customHeight="false" outlineLevel="0" collapsed="false">
      <c r="A7" s="21" t="s">
        <v>301</v>
      </c>
      <c r="B7" s="18" t="s">
        <v>105</v>
      </c>
      <c r="C7" s="19" t="s">
        <v>106</v>
      </c>
      <c r="D7" s="18" t="s">
        <v>302</v>
      </c>
      <c r="E7" s="20" t="s">
        <v>283</v>
      </c>
      <c r="F7" s="18" t="s">
        <v>265</v>
      </c>
      <c r="G7" s="18" t="s">
        <v>220</v>
      </c>
    </row>
    <row r="8" customFormat="false" ht="15" hidden="false" customHeight="false" outlineLevel="0" collapsed="false">
      <c r="A8" s="21" t="s">
        <v>171</v>
      </c>
      <c r="B8" s="18" t="s">
        <v>105</v>
      </c>
      <c r="C8" s="19" t="s">
        <v>150</v>
      </c>
      <c r="D8" s="18" t="s">
        <v>303</v>
      </c>
      <c r="E8" s="20" t="s">
        <v>195</v>
      </c>
      <c r="F8" s="18"/>
      <c r="G8" s="18" t="s">
        <v>174</v>
      </c>
    </row>
    <row r="9" customFormat="false" ht="15" hidden="false" customHeight="false" outlineLevel="0" collapsed="false">
      <c r="A9" s="21" t="s">
        <v>293</v>
      </c>
      <c r="B9" s="18" t="s">
        <v>201</v>
      </c>
      <c r="C9" s="19" t="s">
        <v>106</v>
      </c>
      <c r="D9" s="18" t="s">
        <v>304</v>
      </c>
      <c r="E9" s="18" t="s">
        <v>305</v>
      </c>
      <c r="F9" s="18" t="s">
        <v>296</v>
      </c>
      <c r="G9" s="18" t="s">
        <v>220</v>
      </c>
    </row>
    <row r="10" customFormat="false" ht="26.85" hidden="false" customHeight="false" outlineLevel="0" collapsed="false">
      <c r="A10" s="21" t="s">
        <v>306</v>
      </c>
      <c r="B10" s="18" t="s">
        <v>129</v>
      </c>
      <c r="C10" s="19" t="s">
        <v>106</v>
      </c>
      <c r="D10" s="18" t="s">
        <v>307</v>
      </c>
      <c r="E10" s="18" t="s">
        <v>308</v>
      </c>
      <c r="F10" s="18" t="s">
        <v>132</v>
      </c>
      <c r="G10" s="18" t="s">
        <v>220</v>
      </c>
    </row>
    <row r="11" customFormat="false" ht="15" hidden="false" customHeight="false" outlineLevel="0" collapsed="false">
      <c r="A11" s="21" t="s">
        <v>309</v>
      </c>
      <c r="B11" s="18" t="s">
        <v>105</v>
      </c>
      <c r="C11" s="19" t="s">
        <v>106</v>
      </c>
      <c r="D11" s="18" t="s">
        <v>310</v>
      </c>
      <c r="E11" s="20" t="s">
        <v>167</v>
      </c>
      <c r="F11" s="18"/>
      <c r="G11" s="18" t="s">
        <v>158</v>
      </c>
    </row>
    <row r="12" customFormat="false" ht="15" hidden="false" customHeight="false" outlineLevel="0" collapsed="false">
      <c r="A12" s="21" t="s">
        <v>311</v>
      </c>
      <c r="B12" s="18" t="s">
        <v>154</v>
      </c>
      <c r="C12" s="19" t="s">
        <v>106</v>
      </c>
      <c r="D12" s="18" t="s">
        <v>312</v>
      </c>
      <c r="E12" s="18"/>
      <c r="F12" s="18"/>
      <c r="G12"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35</v>
      </c>
    </row>
    <row r="2" customFormat="false" ht="15" hidden="false" customHeight="false" outlineLevel="0" collapsed="false">
      <c r="A2" s="2" t="s">
        <v>313</v>
      </c>
    </row>
    <row r="3" customFormat="false" ht="15" hidden="false" customHeight="false" outlineLevel="0" collapsed="false">
      <c r="A3" s="15" t="s">
        <v>37</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112</v>
      </c>
      <c r="C6" s="19" t="s">
        <v>106</v>
      </c>
      <c r="D6" s="18" t="s">
        <v>314</v>
      </c>
      <c r="E6" s="18" t="s">
        <v>315</v>
      </c>
      <c r="F6" s="18" t="s">
        <v>316</v>
      </c>
      <c r="G6" s="18" t="s">
        <v>179</v>
      </c>
    </row>
    <row r="7" customFormat="false" ht="15" hidden="false" customHeight="false" outlineLevel="0" collapsed="false">
      <c r="A7" s="17" t="s">
        <v>175</v>
      </c>
      <c r="B7" s="18" t="s">
        <v>112</v>
      </c>
      <c r="C7" s="19" t="s">
        <v>106</v>
      </c>
      <c r="D7" s="18" t="s">
        <v>317</v>
      </c>
      <c r="E7" s="18"/>
      <c r="F7" s="18" t="s">
        <v>318</v>
      </c>
      <c r="G7" s="18" t="s">
        <v>179</v>
      </c>
    </row>
    <row r="8" customFormat="false" ht="15" hidden="false" customHeight="false" outlineLevel="0" collapsed="false">
      <c r="A8" s="17" t="s">
        <v>133</v>
      </c>
      <c r="B8" s="18" t="s">
        <v>112</v>
      </c>
      <c r="C8" s="19" t="s">
        <v>106</v>
      </c>
      <c r="D8" s="18" t="s">
        <v>319</v>
      </c>
      <c r="E8" s="18" t="s">
        <v>320</v>
      </c>
      <c r="F8" s="18" t="s">
        <v>136</v>
      </c>
      <c r="G8" s="18" t="s">
        <v>137</v>
      </c>
    </row>
    <row r="9" customFormat="false" ht="15" hidden="false" customHeight="false" outlineLevel="0" collapsed="false">
      <c r="A9" s="17" t="s">
        <v>321</v>
      </c>
      <c r="B9" s="18" t="s">
        <v>112</v>
      </c>
      <c r="C9" s="19" t="s">
        <v>150</v>
      </c>
      <c r="D9" s="18" t="s">
        <v>322</v>
      </c>
      <c r="E9" s="18"/>
      <c r="F9" s="18" t="s">
        <v>323</v>
      </c>
      <c r="G9" s="18"/>
    </row>
    <row r="10" customFormat="false" ht="15" hidden="false" customHeight="false" outlineLevel="0" collapsed="false">
      <c r="A10" s="17" t="s">
        <v>324</v>
      </c>
      <c r="B10" s="18" t="s">
        <v>112</v>
      </c>
      <c r="C10" s="19" t="s">
        <v>150</v>
      </c>
      <c r="D10" s="18" t="s">
        <v>325</v>
      </c>
      <c r="E10" s="18" t="s">
        <v>326</v>
      </c>
      <c r="F10" s="18"/>
      <c r="G10" s="18"/>
    </row>
    <row r="11" customFormat="false" ht="15" hidden="false" customHeight="false" outlineLevel="0" collapsed="false">
      <c r="A11" s="17" t="s">
        <v>327</v>
      </c>
      <c r="B11" s="18" t="s">
        <v>246</v>
      </c>
      <c r="C11" s="19" t="s">
        <v>106</v>
      </c>
      <c r="D11" s="18" t="s">
        <v>328</v>
      </c>
      <c r="E11" s="18"/>
      <c r="F11" s="18" t="s">
        <v>248</v>
      </c>
      <c r="G11" s="18" t="s">
        <v>179</v>
      </c>
    </row>
    <row r="12" customFormat="false" ht="15" hidden="false" customHeight="false" outlineLevel="0" collapsed="false">
      <c r="A12" s="17" t="s">
        <v>145</v>
      </c>
      <c r="B12" s="18" t="s">
        <v>112</v>
      </c>
      <c r="C12" s="19" t="s">
        <v>106</v>
      </c>
      <c r="D12" s="18" t="s">
        <v>329</v>
      </c>
      <c r="E12" s="18" t="s">
        <v>262</v>
      </c>
      <c r="F12" s="18" t="s">
        <v>148</v>
      </c>
      <c r="G12" s="18" t="s">
        <v>187</v>
      </c>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38</v>
      </c>
    </row>
    <row r="2" customFormat="false" ht="15" hidden="false" customHeight="false" outlineLevel="0" collapsed="false">
      <c r="A2" s="2" t="s">
        <v>330</v>
      </c>
    </row>
    <row r="3" customFormat="false" ht="15" hidden="false" customHeight="false" outlineLevel="0" collapsed="false">
      <c r="A3" s="15" t="s">
        <v>40</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331</v>
      </c>
      <c r="E6" s="18" t="s">
        <v>108</v>
      </c>
      <c r="F6" s="18"/>
      <c r="G6" s="18" t="s">
        <v>179</v>
      </c>
    </row>
    <row r="7" customFormat="false" ht="15" hidden="false" customHeight="false" outlineLevel="0" collapsed="false">
      <c r="A7" s="17" t="s">
        <v>171</v>
      </c>
      <c r="B7" s="18" t="s">
        <v>105</v>
      </c>
      <c r="C7" s="19" t="s">
        <v>106</v>
      </c>
      <c r="D7" s="18" t="s">
        <v>17</v>
      </c>
      <c r="E7" s="20" t="s">
        <v>195</v>
      </c>
      <c r="F7" s="18" t="s">
        <v>109</v>
      </c>
      <c r="G7" s="18" t="s">
        <v>174</v>
      </c>
    </row>
    <row r="8" customFormat="false" ht="15" hidden="false" customHeight="false" outlineLevel="0" collapsed="false">
      <c r="A8" s="17" t="s">
        <v>332</v>
      </c>
      <c r="B8" s="18" t="s">
        <v>112</v>
      </c>
      <c r="C8" s="19" t="s">
        <v>106</v>
      </c>
      <c r="D8" s="18" t="s">
        <v>333</v>
      </c>
      <c r="E8" s="18" t="s">
        <v>334</v>
      </c>
      <c r="F8" s="18" t="s">
        <v>335</v>
      </c>
      <c r="G8" s="18" t="s">
        <v>179</v>
      </c>
    </row>
    <row r="9" customFormat="false" ht="15" hidden="false" customHeight="false" outlineLevel="0" collapsed="false">
      <c r="A9" s="17" t="s">
        <v>276</v>
      </c>
      <c r="B9" s="18" t="s">
        <v>112</v>
      </c>
      <c r="C9" s="19" t="s">
        <v>106</v>
      </c>
      <c r="D9" s="18" t="s">
        <v>336</v>
      </c>
      <c r="E9" s="18" t="s">
        <v>337</v>
      </c>
      <c r="F9" s="18" t="s">
        <v>338</v>
      </c>
      <c r="G9" s="18" t="s">
        <v>179</v>
      </c>
    </row>
    <row r="10" customFormat="false" ht="15" hidden="false" customHeight="false" outlineLevel="0" collapsed="false">
      <c r="A10" s="17" t="s">
        <v>339</v>
      </c>
      <c r="B10" s="18" t="s">
        <v>207</v>
      </c>
      <c r="C10" s="19" t="s">
        <v>150</v>
      </c>
      <c r="D10" s="18" t="s">
        <v>340</v>
      </c>
      <c r="E10" s="18" t="s">
        <v>341</v>
      </c>
      <c r="F10" s="18"/>
      <c r="G10" s="18" t="s">
        <v>179</v>
      </c>
    </row>
    <row r="11" customFormat="false" ht="15" hidden="false" customHeight="false" outlineLevel="0" collapsed="false">
      <c r="A11" s="17" t="s">
        <v>342</v>
      </c>
      <c r="B11" s="18" t="s">
        <v>246</v>
      </c>
      <c r="C11" s="19" t="s">
        <v>106</v>
      </c>
      <c r="D11" s="18" t="s">
        <v>343</v>
      </c>
      <c r="E11" s="18"/>
      <c r="F11" s="18" t="s">
        <v>248</v>
      </c>
      <c r="G11" s="18" t="s">
        <v>179</v>
      </c>
    </row>
    <row r="12" customFormat="false" ht="15" hidden="false" customHeight="false" outlineLevel="0" collapsed="false">
      <c r="A12" s="17" t="s">
        <v>344</v>
      </c>
      <c r="B12" s="18" t="s">
        <v>129</v>
      </c>
      <c r="C12" s="19" t="s">
        <v>106</v>
      </c>
      <c r="D12" s="18" t="s">
        <v>345</v>
      </c>
      <c r="E12" s="20" t="s">
        <v>346</v>
      </c>
      <c r="F12" s="18" t="s">
        <v>347</v>
      </c>
      <c r="G12" s="18" t="s">
        <v>220</v>
      </c>
    </row>
    <row r="13" customFormat="false" ht="15" hidden="false" customHeight="false" outlineLevel="0" collapsed="false">
      <c r="A13" s="17" t="s">
        <v>348</v>
      </c>
      <c r="B13" s="18" t="s">
        <v>201</v>
      </c>
      <c r="C13" s="19" t="s">
        <v>106</v>
      </c>
      <c r="D13" s="18" t="s">
        <v>349</v>
      </c>
      <c r="E13" s="18"/>
      <c r="F13" s="18" t="s">
        <v>350</v>
      </c>
      <c r="G13" s="18"/>
    </row>
    <row r="14" customFormat="false" ht="15" hidden="false" customHeight="false" outlineLevel="0" collapsed="false">
      <c r="A14" s="17" t="s">
        <v>145</v>
      </c>
      <c r="B14" s="18" t="s">
        <v>112</v>
      </c>
      <c r="C14" s="19" t="s">
        <v>106</v>
      </c>
      <c r="D14" s="18" t="s">
        <v>329</v>
      </c>
      <c r="E14" s="18" t="s">
        <v>351</v>
      </c>
      <c r="F14" s="18" t="s">
        <v>148</v>
      </c>
      <c r="G14" s="18" t="s">
        <v>187</v>
      </c>
    </row>
    <row r="15" customFormat="false" ht="15" hidden="false" customHeight="false" outlineLevel="0" collapsed="false">
      <c r="A15" s="17" t="s">
        <v>153</v>
      </c>
      <c r="B15" s="18" t="s">
        <v>154</v>
      </c>
      <c r="C15" s="19" t="s">
        <v>106</v>
      </c>
      <c r="D15" s="18" t="s">
        <v>155</v>
      </c>
      <c r="E15" s="18" t="s">
        <v>156</v>
      </c>
      <c r="F15" s="18" t="s">
        <v>157</v>
      </c>
      <c r="G15" s="18" t="s">
        <v>158</v>
      </c>
    </row>
    <row r="16" customFormat="false" ht="15" hidden="false" customHeight="false" outlineLevel="0" collapsed="false">
      <c r="A16" s="17" t="s">
        <v>159</v>
      </c>
      <c r="B16" s="18" t="s">
        <v>105</v>
      </c>
      <c r="C16" s="19" t="s">
        <v>106</v>
      </c>
      <c r="D16" s="18" t="s">
        <v>160</v>
      </c>
      <c r="E16" s="20" t="s">
        <v>161</v>
      </c>
      <c r="F16" s="18" t="s">
        <v>162</v>
      </c>
      <c r="G16" s="18" t="s">
        <v>158</v>
      </c>
    </row>
    <row r="17" customFormat="false" ht="15" hidden="false" customHeight="false" outlineLevel="0" collapsed="false">
      <c r="A17" s="17" t="s">
        <v>163</v>
      </c>
      <c r="B17" s="18" t="s">
        <v>154</v>
      </c>
      <c r="C17" s="19" t="s">
        <v>106</v>
      </c>
      <c r="D17" s="18" t="s">
        <v>164</v>
      </c>
      <c r="E17" s="18" t="s">
        <v>156</v>
      </c>
      <c r="F17" s="18" t="s">
        <v>157</v>
      </c>
      <c r="G17" s="18" t="s">
        <v>158</v>
      </c>
    </row>
    <row r="18" customFormat="false" ht="15" hidden="false" customHeight="false" outlineLevel="0" collapsed="false">
      <c r="A18" s="17" t="s">
        <v>165</v>
      </c>
      <c r="B18" s="18" t="s">
        <v>105</v>
      </c>
      <c r="C18" s="19" t="s">
        <v>106</v>
      </c>
      <c r="D18" s="18" t="s">
        <v>166</v>
      </c>
      <c r="E18" s="20" t="s">
        <v>167</v>
      </c>
      <c r="F18" s="18" t="s">
        <v>162</v>
      </c>
      <c r="G18"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7DD"/>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41</v>
      </c>
    </row>
    <row r="2" customFormat="false" ht="15" hidden="false" customHeight="false" outlineLevel="0" collapsed="false">
      <c r="A2" s="2" t="s">
        <v>352</v>
      </c>
    </row>
    <row r="3" customFormat="false" ht="15" hidden="false" customHeight="false" outlineLevel="0" collapsed="false">
      <c r="A3" s="15" t="s">
        <v>43</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2" t="s">
        <v>104</v>
      </c>
      <c r="B6" s="18" t="s">
        <v>112</v>
      </c>
      <c r="C6" s="19" t="s">
        <v>106</v>
      </c>
      <c r="D6" s="18" t="s">
        <v>353</v>
      </c>
      <c r="E6" s="18" t="s">
        <v>354</v>
      </c>
      <c r="F6" s="18" t="s">
        <v>355</v>
      </c>
      <c r="G6" s="18" t="s">
        <v>356</v>
      </c>
    </row>
    <row r="7" customFormat="false" ht="15" hidden="false" customHeight="false" outlineLevel="0" collapsed="false">
      <c r="A7" s="22" t="s">
        <v>357</v>
      </c>
      <c r="B7" s="18" t="s">
        <v>201</v>
      </c>
      <c r="C7" s="19" t="s">
        <v>106</v>
      </c>
      <c r="D7" s="18" t="s">
        <v>358</v>
      </c>
      <c r="E7" s="18"/>
      <c r="F7" s="18" t="s">
        <v>359</v>
      </c>
      <c r="G7" s="18" t="s">
        <v>360</v>
      </c>
    </row>
    <row r="8" customFormat="false" ht="26.85" hidden="false" customHeight="false" outlineLevel="0" collapsed="false">
      <c r="A8" s="22" t="s">
        <v>361</v>
      </c>
      <c r="B8" s="18" t="s">
        <v>129</v>
      </c>
      <c r="C8" s="19" t="s">
        <v>106</v>
      </c>
      <c r="D8" s="18" t="s">
        <v>362</v>
      </c>
      <c r="E8" s="18" t="s">
        <v>363</v>
      </c>
      <c r="F8" s="18" t="s">
        <v>132</v>
      </c>
      <c r="G8" s="18" t="s">
        <v>356</v>
      </c>
    </row>
    <row r="9" customFormat="false" ht="15" hidden="false" customHeight="false" outlineLevel="0" collapsed="false">
      <c r="A9" s="22" t="s">
        <v>364</v>
      </c>
      <c r="B9" s="18" t="s">
        <v>129</v>
      </c>
      <c r="C9" s="19" t="s">
        <v>106</v>
      </c>
      <c r="D9" s="18" t="s">
        <v>365</v>
      </c>
      <c r="E9" s="18" t="s">
        <v>366</v>
      </c>
      <c r="F9" s="18" t="s">
        <v>132</v>
      </c>
      <c r="G9" s="18" t="s">
        <v>356</v>
      </c>
    </row>
    <row r="10" customFormat="false" ht="15" hidden="false" customHeight="false" outlineLevel="0" collapsed="false">
      <c r="A10" s="22" t="s">
        <v>367</v>
      </c>
      <c r="B10" s="18" t="s">
        <v>201</v>
      </c>
      <c r="C10" s="19" t="s">
        <v>106</v>
      </c>
      <c r="D10" s="18" t="s">
        <v>368</v>
      </c>
      <c r="E10" s="18"/>
      <c r="F10" s="18" t="s">
        <v>369</v>
      </c>
      <c r="G10" s="18" t="s">
        <v>370</v>
      </c>
    </row>
    <row r="11" customFormat="false" ht="15" hidden="false" customHeight="false" outlineLevel="0" collapsed="false">
      <c r="A11" s="22" t="s">
        <v>371</v>
      </c>
      <c r="B11" s="18" t="s">
        <v>201</v>
      </c>
      <c r="C11" s="19" t="s">
        <v>106</v>
      </c>
      <c r="D11" s="18" t="s">
        <v>372</v>
      </c>
      <c r="E11" s="18"/>
      <c r="F11" s="18" t="s">
        <v>373</v>
      </c>
      <c r="G11" s="18" t="s">
        <v>374</v>
      </c>
    </row>
    <row r="12" customFormat="false" ht="15" hidden="false" customHeight="false" outlineLevel="0" collapsed="false">
      <c r="A12" s="22" t="s">
        <v>375</v>
      </c>
      <c r="B12" s="18" t="s">
        <v>129</v>
      </c>
      <c r="C12" s="19" t="s">
        <v>106</v>
      </c>
      <c r="D12" s="18" t="s">
        <v>376</v>
      </c>
      <c r="E12" s="18" t="s">
        <v>377</v>
      </c>
      <c r="F12" s="18" t="s">
        <v>132</v>
      </c>
      <c r="G12" s="18" t="s">
        <v>378</v>
      </c>
    </row>
    <row r="13" customFormat="false" ht="15" hidden="false" customHeight="false" outlineLevel="0" collapsed="false">
      <c r="A13" s="22" t="s">
        <v>379</v>
      </c>
      <c r="B13" s="18" t="s">
        <v>286</v>
      </c>
      <c r="C13" s="19" t="s">
        <v>106</v>
      </c>
      <c r="D13" s="18" t="s">
        <v>380</v>
      </c>
      <c r="E13" s="18" t="s">
        <v>381</v>
      </c>
      <c r="F13" s="18" t="s">
        <v>382</v>
      </c>
      <c r="G13" s="18" t="s">
        <v>137</v>
      </c>
    </row>
    <row r="14" customFormat="false" ht="15" hidden="false" customHeight="false" outlineLevel="0" collapsed="false">
      <c r="A14" s="22" t="s">
        <v>153</v>
      </c>
      <c r="B14" s="18" t="s">
        <v>154</v>
      </c>
      <c r="C14" s="19" t="s">
        <v>106</v>
      </c>
      <c r="D14" s="18" t="s">
        <v>155</v>
      </c>
      <c r="E14" s="18" t="s">
        <v>156</v>
      </c>
      <c r="F14" s="18" t="s">
        <v>157</v>
      </c>
      <c r="G14" s="18" t="s">
        <v>158</v>
      </c>
    </row>
    <row r="15" customFormat="false" ht="15" hidden="false" customHeight="false" outlineLevel="0" collapsed="false">
      <c r="A15" s="22" t="s">
        <v>159</v>
      </c>
      <c r="B15" s="18" t="s">
        <v>105</v>
      </c>
      <c r="C15" s="19" t="s">
        <v>106</v>
      </c>
      <c r="D15" s="18" t="s">
        <v>160</v>
      </c>
      <c r="E15" s="20" t="s">
        <v>161</v>
      </c>
      <c r="F15" s="18" t="s">
        <v>162</v>
      </c>
      <c r="G15" s="18" t="s">
        <v>158</v>
      </c>
    </row>
    <row r="16" customFormat="false" ht="15" hidden="false" customHeight="false" outlineLevel="0" collapsed="false">
      <c r="A16" s="22" t="s">
        <v>163</v>
      </c>
      <c r="B16" s="18" t="s">
        <v>154</v>
      </c>
      <c r="C16" s="19" t="s">
        <v>106</v>
      </c>
      <c r="D16" s="18" t="s">
        <v>164</v>
      </c>
      <c r="E16" s="18" t="s">
        <v>156</v>
      </c>
      <c r="F16" s="18" t="s">
        <v>157</v>
      </c>
      <c r="G16" s="18" t="s">
        <v>158</v>
      </c>
    </row>
    <row r="17" customFormat="false" ht="15" hidden="false" customHeight="false" outlineLevel="0" collapsed="false">
      <c r="A17" s="22" t="s">
        <v>165</v>
      </c>
      <c r="B17" s="18" t="s">
        <v>105</v>
      </c>
      <c r="C17" s="19" t="s">
        <v>106</v>
      </c>
      <c r="D17" s="18" t="s">
        <v>166</v>
      </c>
      <c r="E17" s="20" t="s">
        <v>167</v>
      </c>
      <c r="F17" s="18" t="s">
        <v>162</v>
      </c>
      <c r="G17"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9E63"/>
    <pageSetUpPr fitToPage="tru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44</v>
      </c>
    </row>
    <row r="2" customFormat="false" ht="15" hidden="false" customHeight="false" outlineLevel="0" collapsed="false">
      <c r="A2" s="2" t="s">
        <v>383</v>
      </c>
    </row>
    <row r="3" customFormat="false" ht="15" hidden="false" customHeight="false" outlineLevel="0" collapsed="false">
      <c r="A3" s="15" t="s">
        <v>47</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3" t="s">
        <v>104</v>
      </c>
      <c r="B6" s="18" t="s">
        <v>105</v>
      </c>
      <c r="C6" s="19" t="s">
        <v>106</v>
      </c>
      <c r="D6" s="18" t="s">
        <v>384</v>
      </c>
      <c r="E6" s="18" t="s">
        <v>108</v>
      </c>
      <c r="F6" s="18" t="s">
        <v>385</v>
      </c>
      <c r="G6" s="18"/>
    </row>
    <row r="7" customFormat="false" ht="15" hidden="false" customHeight="false" outlineLevel="0" collapsed="false">
      <c r="A7" s="23" t="s">
        <v>171</v>
      </c>
      <c r="B7" s="18" t="s">
        <v>105</v>
      </c>
      <c r="C7" s="19" t="s">
        <v>106</v>
      </c>
      <c r="D7" s="18" t="s">
        <v>17</v>
      </c>
      <c r="E7" s="20" t="s">
        <v>386</v>
      </c>
      <c r="F7" s="18" t="s">
        <v>109</v>
      </c>
      <c r="G7" s="18" t="s">
        <v>220</v>
      </c>
    </row>
    <row r="8" customFormat="false" ht="15" hidden="false" customHeight="false" outlineLevel="0" collapsed="false">
      <c r="A8" s="23" t="s">
        <v>387</v>
      </c>
      <c r="B8" s="18" t="s">
        <v>112</v>
      </c>
      <c r="C8" s="19" t="s">
        <v>106</v>
      </c>
      <c r="D8" s="18" t="s">
        <v>388</v>
      </c>
      <c r="E8" s="18" t="s">
        <v>389</v>
      </c>
      <c r="F8" s="18" t="s">
        <v>390</v>
      </c>
      <c r="G8" s="18" t="s">
        <v>391</v>
      </c>
    </row>
    <row r="9" customFormat="false" ht="15" hidden="false" customHeight="false" outlineLevel="0" collapsed="false">
      <c r="A9" s="23" t="s">
        <v>175</v>
      </c>
      <c r="B9" s="18" t="s">
        <v>129</v>
      </c>
      <c r="C9" s="19" t="s">
        <v>106</v>
      </c>
      <c r="D9" s="18" t="s">
        <v>392</v>
      </c>
      <c r="E9" s="18" t="s">
        <v>393</v>
      </c>
      <c r="F9" s="18" t="s">
        <v>394</v>
      </c>
      <c r="G9" s="18" t="s">
        <v>179</v>
      </c>
    </row>
    <row r="10" customFormat="false" ht="15" hidden="false" customHeight="false" outlineLevel="0" collapsed="false">
      <c r="A10" s="23" t="s">
        <v>395</v>
      </c>
      <c r="B10" s="18" t="s">
        <v>112</v>
      </c>
      <c r="C10" s="19" t="s">
        <v>150</v>
      </c>
      <c r="D10" s="18" t="s">
        <v>396</v>
      </c>
      <c r="E10" s="18" t="s">
        <v>397</v>
      </c>
      <c r="F10" s="18" t="s">
        <v>398</v>
      </c>
      <c r="G10" s="18" t="s">
        <v>179</v>
      </c>
    </row>
    <row r="11" customFormat="false" ht="15" hidden="false" customHeight="false" outlineLevel="0" collapsed="false">
      <c r="A11" s="23" t="s">
        <v>399</v>
      </c>
      <c r="B11" s="18" t="s">
        <v>112</v>
      </c>
      <c r="C11" s="19" t="s">
        <v>150</v>
      </c>
      <c r="D11" s="18" t="s">
        <v>400</v>
      </c>
      <c r="E11" s="18" t="s">
        <v>401</v>
      </c>
      <c r="F11" s="18"/>
      <c r="G11" s="18" t="s">
        <v>179</v>
      </c>
    </row>
    <row r="12" customFormat="false" ht="15" hidden="false" customHeight="false" outlineLevel="0" collapsed="false">
      <c r="A12" s="23" t="s">
        <v>402</v>
      </c>
      <c r="B12" s="18" t="s">
        <v>403</v>
      </c>
      <c r="C12" s="19" t="s">
        <v>106</v>
      </c>
      <c r="D12" s="18" t="s">
        <v>404</v>
      </c>
      <c r="E12" s="20" t="s">
        <v>405</v>
      </c>
      <c r="F12" s="18" t="s">
        <v>406</v>
      </c>
      <c r="G12" s="18" t="s">
        <v>220</v>
      </c>
    </row>
    <row r="13" customFormat="false" ht="15" hidden="false" customHeight="false" outlineLevel="0" collapsed="false">
      <c r="A13" s="23" t="s">
        <v>301</v>
      </c>
      <c r="B13" s="18" t="s">
        <v>105</v>
      </c>
      <c r="C13" s="19" t="s">
        <v>106</v>
      </c>
      <c r="D13" s="18" t="s">
        <v>407</v>
      </c>
      <c r="E13" s="20" t="s">
        <v>408</v>
      </c>
      <c r="F13" s="18" t="s">
        <v>265</v>
      </c>
      <c r="G13" s="18" t="s">
        <v>220</v>
      </c>
    </row>
    <row r="14" customFormat="false" ht="39.55" hidden="false" customHeight="false" outlineLevel="0" collapsed="false">
      <c r="A14" s="23" t="s">
        <v>409</v>
      </c>
      <c r="B14" s="18" t="s">
        <v>286</v>
      </c>
      <c r="C14" s="19" t="s">
        <v>150</v>
      </c>
      <c r="D14" s="18" t="s">
        <v>410</v>
      </c>
      <c r="E14" s="20" t="s">
        <v>411</v>
      </c>
      <c r="F14" s="18" t="s">
        <v>412</v>
      </c>
      <c r="G14" s="18" t="s">
        <v>220</v>
      </c>
    </row>
    <row r="15" customFormat="false" ht="15" hidden="false" customHeight="false" outlineLevel="0" collapsed="false">
      <c r="A15" s="23" t="s">
        <v>413</v>
      </c>
      <c r="B15" s="18" t="s">
        <v>286</v>
      </c>
      <c r="C15" s="19" t="s">
        <v>150</v>
      </c>
      <c r="D15" s="18" t="s">
        <v>414</v>
      </c>
      <c r="E15" s="20" t="s">
        <v>415</v>
      </c>
      <c r="F15" s="18" t="s">
        <v>416</v>
      </c>
      <c r="G15" s="18" t="s">
        <v>179</v>
      </c>
    </row>
    <row r="16" customFormat="false" ht="26.85" hidden="false" customHeight="false" outlineLevel="0" collapsed="false">
      <c r="A16" s="23" t="s">
        <v>417</v>
      </c>
      <c r="B16" s="18" t="s">
        <v>129</v>
      </c>
      <c r="C16" s="19" t="s">
        <v>106</v>
      </c>
      <c r="D16" s="18" t="s">
        <v>418</v>
      </c>
      <c r="E16" s="18" t="s">
        <v>419</v>
      </c>
      <c r="F16" s="18" t="s">
        <v>420</v>
      </c>
      <c r="G16" s="18" t="s">
        <v>253</v>
      </c>
    </row>
    <row r="17" customFormat="false" ht="15" hidden="false" customHeight="false" outlineLevel="0" collapsed="false">
      <c r="A17" s="23" t="s">
        <v>145</v>
      </c>
      <c r="B17" s="18" t="s">
        <v>112</v>
      </c>
      <c r="C17" s="19" t="s">
        <v>106</v>
      </c>
      <c r="D17" s="18" t="s">
        <v>421</v>
      </c>
      <c r="E17" s="18" t="s">
        <v>422</v>
      </c>
      <c r="F17" s="18" t="s">
        <v>148</v>
      </c>
      <c r="G17" s="18" t="s">
        <v>423</v>
      </c>
    </row>
    <row r="18" customFormat="false" ht="39.55" hidden="false" customHeight="false" outlineLevel="0" collapsed="false">
      <c r="A18" s="23" t="s">
        <v>424</v>
      </c>
      <c r="B18" s="18" t="s">
        <v>129</v>
      </c>
      <c r="C18" s="19" t="s">
        <v>106</v>
      </c>
      <c r="D18" s="18" t="s">
        <v>425</v>
      </c>
      <c r="E18" s="18" t="s">
        <v>426</v>
      </c>
      <c r="F18" s="18" t="s">
        <v>132</v>
      </c>
      <c r="G18" s="18" t="s">
        <v>427</v>
      </c>
    </row>
    <row r="19" customFormat="false" ht="15" hidden="false" customHeight="false" outlineLevel="0" collapsed="false">
      <c r="A19" s="23" t="s">
        <v>428</v>
      </c>
      <c r="B19" s="18" t="s">
        <v>129</v>
      </c>
      <c r="C19" s="19" t="s">
        <v>150</v>
      </c>
      <c r="D19" s="18" t="s">
        <v>429</v>
      </c>
      <c r="E19" s="18" t="s">
        <v>430</v>
      </c>
      <c r="F19" s="18" t="s">
        <v>132</v>
      </c>
      <c r="G19" s="18" t="s">
        <v>431</v>
      </c>
    </row>
    <row r="20" customFormat="false" ht="15" hidden="false" customHeight="false" outlineLevel="0" collapsed="false">
      <c r="A20" s="23" t="s">
        <v>432</v>
      </c>
      <c r="B20" s="18" t="s">
        <v>129</v>
      </c>
      <c r="C20" s="19" t="s">
        <v>150</v>
      </c>
      <c r="D20" s="18" t="s">
        <v>433</v>
      </c>
      <c r="E20" s="18" t="s">
        <v>434</v>
      </c>
      <c r="F20" s="18" t="s">
        <v>132</v>
      </c>
      <c r="G20" s="18" t="s">
        <v>435</v>
      </c>
    </row>
    <row r="21" customFormat="false" ht="15" hidden="false" customHeight="false" outlineLevel="0" collapsed="false">
      <c r="A21" s="23" t="s">
        <v>153</v>
      </c>
      <c r="B21" s="18" t="s">
        <v>154</v>
      </c>
      <c r="C21" s="19" t="s">
        <v>106</v>
      </c>
      <c r="D21" s="18" t="s">
        <v>155</v>
      </c>
      <c r="E21" s="18" t="s">
        <v>156</v>
      </c>
      <c r="F21" s="18" t="s">
        <v>157</v>
      </c>
      <c r="G21" s="18" t="s">
        <v>158</v>
      </c>
    </row>
    <row r="22" customFormat="false" ht="15" hidden="false" customHeight="false" outlineLevel="0" collapsed="false">
      <c r="A22" s="23" t="s">
        <v>159</v>
      </c>
      <c r="B22" s="18" t="s">
        <v>105</v>
      </c>
      <c r="C22" s="19" t="s">
        <v>106</v>
      </c>
      <c r="D22" s="18" t="s">
        <v>160</v>
      </c>
      <c r="E22" s="20" t="s">
        <v>161</v>
      </c>
      <c r="F22" s="18" t="s">
        <v>162</v>
      </c>
      <c r="G22" s="18" t="s">
        <v>158</v>
      </c>
    </row>
    <row r="23" customFormat="false" ht="15" hidden="false" customHeight="false" outlineLevel="0" collapsed="false">
      <c r="A23" s="23" t="s">
        <v>163</v>
      </c>
      <c r="B23" s="18" t="s">
        <v>154</v>
      </c>
      <c r="C23" s="19" t="s">
        <v>106</v>
      </c>
      <c r="D23" s="18" t="s">
        <v>164</v>
      </c>
      <c r="E23" s="18" t="s">
        <v>156</v>
      </c>
      <c r="F23" s="18" t="s">
        <v>157</v>
      </c>
      <c r="G23" s="18" t="s">
        <v>158</v>
      </c>
    </row>
    <row r="24" customFormat="false" ht="15" hidden="false" customHeight="false" outlineLevel="0" collapsed="false">
      <c r="A24" s="23" t="s">
        <v>165</v>
      </c>
      <c r="B24" s="18" t="s">
        <v>105</v>
      </c>
      <c r="C24" s="19" t="s">
        <v>106</v>
      </c>
      <c r="D24" s="18" t="s">
        <v>166</v>
      </c>
      <c r="E24" s="20" t="s">
        <v>167</v>
      </c>
      <c r="F24" s="18" t="s">
        <v>162</v>
      </c>
      <c r="G24"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48</v>
      </c>
    </row>
    <row r="2" customFormat="false" ht="15" hidden="false" customHeight="false" outlineLevel="0" collapsed="false">
      <c r="A2" s="2" t="s">
        <v>436</v>
      </c>
    </row>
    <row r="3" customFormat="false" ht="15" hidden="false" customHeight="false" outlineLevel="0" collapsed="false">
      <c r="A3" s="15" t="s">
        <v>50</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1" t="s">
        <v>104</v>
      </c>
      <c r="B6" s="18" t="s">
        <v>105</v>
      </c>
      <c r="C6" s="19" t="s">
        <v>106</v>
      </c>
      <c r="D6" s="18" t="s">
        <v>437</v>
      </c>
      <c r="E6" s="18" t="s">
        <v>108</v>
      </c>
      <c r="F6" s="18"/>
      <c r="G6" s="18"/>
    </row>
    <row r="7" customFormat="false" ht="15" hidden="false" customHeight="false" outlineLevel="0" collapsed="false">
      <c r="A7" s="21" t="s">
        <v>438</v>
      </c>
      <c r="B7" s="18" t="s">
        <v>105</v>
      </c>
      <c r="C7" s="19" t="s">
        <v>106</v>
      </c>
      <c r="D7" s="18" t="s">
        <v>439</v>
      </c>
      <c r="E7" s="20" t="s">
        <v>167</v>
      </c>
      <c r="F7" s="18"/>
      <c r="G7" s="18" t="s">
        <v>440</v>
      </c>
    </row>
    <row r="8" customFormat="false" ht="15" hidden="false" customHeight="false" outlineLevel="0" collapsed="false">
      <c r="A8" s="21" t="s">
        <v>171</v>
      </c>
      <c r="B8" s="18" t="s">
        <v>105</v>
      </c>
      <c r="C8" s="19" t="s">
        <v>106</v>
      </c>
      <c r="D8" s="18" t="s">
        <v>17</v>
      </c>
      <c r="E8" s="20" t="s">
        <v>195</v>
      </c>
      <c r="F8" s="18"/>
      <c r="G8" s="18" t="s">
        <v>174</v>
      </c>
    </row>
    <row r="9" customFormat="false" ht="15" hidden="false" customHeight="false" outlineLevel="0" collapsed="false">
      <c r="A9" s="21" t="s">
        <v>276</v>
      </c>
      <c r="B9" s="18" t="s">
        <v>112</v>
      </c>
      <c r="C9" s="19" t="s">
        <v>106</v>
      </c>
      <c r="D9" s="18" t="s">
        <v>441</v>
      </c>
      <c r="E9" s="18" t="s">
        <v>442</v>
      </c>
      <c r="F9" s="18" t="s">
        <v>443</v>
      </c>
      <c r="G9" s="18" t="s">
        <v>440</v>
      </c>
    </row>
    <row r="10" customFormat="false" ht="15" hidden="false" customHeight="false" outlineLevel="0" collapsed="false">
      <c r="A10" s="21" t="s">
        <v>444</v>
      </c>
      <c r="B10" s="18" t="s">
        <v>112</v>
      </c>
      <c r="C10" s="19" t="s">
        <v>106</v>
      </c>
      <c r="D10" s="18" t="s">
        <v>445</v>
      </c>
      <c r="E10" s="18" t="s">
        <v>446</v>
      </c>
      <c r="F10" s="18"/>
      <c r="G10" s="18" t="s">
        <v>447</v>
      </c>
    </row>
    <row r="11" customFormat="false" ht="15" hidden="false" customHeight="false" outlineLevel="0" collapsed="false">
      <c r="A11" s="21" t="s">
        <v>448</v>
      </c>
      <c r="B11" s="18" t="s">
        <v>154</v>
      </c>
      <c r="C11" s="19" t="s">
        <v>106</v>
      </c>
      <c r="D11" s="18" t="s">
        <v>449</v>
      </c>
      <c r="E11" s="18" t="s">
        <v>450</v>
      </c>
      <c r="F11" s="18"/>
      <c r="G11" s="18" t="s">
        <v>356</v>
      </c>
    </row>
    <row r="12" customFormat="false" ht="15" hidden="false" customHeight="false" outlineLevel="0" collapsed="false">
      <c r="A12" s="21" t="s">
        <v>451</v>
      </c>
      <c r="B12" s="18" t="s">
        <v>154</v>
      </c>
      <c r="C12" s="19" t="s">
        <v>150</v>
      </c>
      <c r="D12" s="18" t="s">
        <v>452</v>
      </c>
      <c r="E12" s="18" t="s">
        <v>453</v>
      </c>
      <c r="F12" s="18"/>
      <c r="G12" s="18" t="s">
        <v>374</v>
      </c>
    </row>
    <row r="13" customFormat="false" ht="15" hidden="false" customHeight="false" outlineLevel="0" collapsed="false">
      <c r="A13" s="21" t="s">
        <v>454</v>
      </c>
      <c r="B13" s="18" t="s">
        <v>201</v>
      </c>
      <c r="C13" s="19" t="s">
        <v>106</v>
      </c>
      <c r="D13" s="18" t="s">
        <v>455</v>
      </c>
      <c r="E13" s="18" t="s">
        <v>456</v>
      </c>
      <c r="F13" s="18" t="s">
        <v>457</v>
      </c>
      <c r="G13" s="18" t="s">
        <v>370</v>
      </c>
    </row>
    <row r="14" customFormat="false" ht="15" hidden="false" customHeight="false" outlineLevel="0" collapsed="false">
      <c r="A14" s="21" t="s">
        <v>153</v>
      </c>
      <c r="B14" s="18" t="s">
        <v>154</v>
      </c>
      <c r="C14" s="19" t="s">
        <v>106</v>
      </c>
      <c r="D14" s="18" t="s">
        <v>458</v>
      </c>
      <c r="E14" s="18"/>
      <c r="F14" s="18"/>
      <c r="G14" s="18"/>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51</v>
      </c>
    </row>
    <row r="2" customFormat="false" ht="15" hidden="false" customHeight="false" outlineLevel="0" collapsed="false">
      <c r="A2" s="2" t="s">
        <v>436</v>
      </c>
    </row>
    <row r="3" customFormat="false" ht="15" hidden="false" customHeight="false" outlineLevel="0" collapsed="false">
      <c r="A3" s="15" t="s">
        <v>52</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1" t="s">
        <v>104</v>
      </c>
      <c r="B6" s="18" t="s">
        <v>105</v>
      </c>
      <c r="C6" s="19" t="s">
        <v>106</v>
      </c>
      <c r="D6" s="18" t="s">
        <v>459</v>
      </c>
      <c r="E6" s="18" t="s">
        <v>108</v>
      </c>
      <c r="F6" s="18"/>
      <c r="G6" s="18"/>
    </row>
    <row r="7" customFormat="false" ht="15" hidden="false" customHeight="false" outlineLevel="0" collapsed="false">
      <c r="A7" s="21" t="s">
        <v>438</v>
      </c>
      <c r="B7" s="18" t="s">
        <v>105</v>
      </c>
      <c r="C7" s="19" t="s">
        <v>106</v>
      </c>
      <c r="D7" s="18" t="s">
        <v>439</v>
      </c>
      <c r="E7" s="20" t="s">
        <v>167</v>
      </c>
      <c r="F7" s="18"/>
      <c r="G7" s="18" t="s">
        <v>378</v>
      </c>
    </row>
    <row r="8" customFormat="false" ht="15" hidden="false" customHeight="false" outlineLevel="0" collapsed="false">
      <c r="A8" s="21" t="s">
        <v>171</v>
      </c>
      <c r="B8" s="18" t="s">
        <v>105</v>
      </c>
      <c r="C8" s="19" t="s">
        <v>106</v>
      </c>
      <c r="D8" s="18" t="s">
        <v>17</v>
      </c>
      <c r="E8" s="20" t="s">
        <v>195</v>
      </c>
      <c r="F8" s="18"/>
      <c r="G8" s="18" t="s">
        <v>174</v>
      </c>
    </row>
    <row r="9" customFormat="false" ht="15" hidden="false" customHeight="false" outlineLevel="0" collapsed="false">
      <c r="A9" s="21" t="s">
        <v>460</v>
      </c>
      <c r="B9" s="18" t="s">
        <v>154</v>
      </c>
      <c r="C9" s="19" t="s">
        <v>106</v>
      </c>
      <c r="D9" s="18" t="s">
        <v>461</v>
      </c>
      <c r="E9" s="18"/>
      <c r="F9" s="18"/>
      <c r="G9" s="18"/>
    </row>
    <row r="10" customFormat="false" ht="15" hidden="false" customHeight="false" outlineLevel="0" collapsed="false">
      <c r="A10" s="21" t="s">
        <v>462</v>
      </c>
      <c r="B10" s="18" t="s">
        <v>154</v>
      </c>
      <c r="C10" s="19" t="s">
        <v>106</v>
      </c>
      <c r="D10" s="18" t="s">
        <v>463</v>
      </c>
      <c r="E10" s="18" t="s">
        <v>464</v>
      </c>
      <c r="F10" s="18"/>
      <c r="G10" s="18" t="s">
        <v>378</v>
      </c>
    </row>
    <row r="11" customFormat="false" ht="15" hidden="false" customHeight="false" outlineLevel="0" collapsed="false">
      <c r="A11" s="21" t="s">
        <v>465</v>
      </c>
      <c r="B11" s="18" t="s">
        <v>154</v>
      </c>
      <c r="C11" s="19" t="s">
        <v>150</v>
      </c>
      <c r="D11" s="18" t="s">
        <v>466</v>
      </c>
      <c r="E11" s="18"/>
      <c r="F11" s="18"/>
      <c r="G11" s="18"/>
    </row>
    <row r="12" customFormat="false" ht="15" hidden="false" customHeight="false" outlineLevel="0" collapsed="false">
      <c r="A12" s="21" t="s">
        <v>467</v>
      </c>
      <c r="B12" s="18" t="s">
        <v>112</v>
      </c>
      <c r="C12" s="19" t="s">
        <v>150</v>
      </c>
      <c r="D12" s="18" t="s">
        <v>468</v>
      </c>
      <c r="E12" s="18" t="s">
        <v>469</v>
      </c>
      <c r="F12" s="18" t="s">
        <v>470</v>
      </c>
      <c r="G12" s="18" t="s">
        <v>471</v>
      </c>
    </row>
    <row r="13" customFormat="false" ht="15" hidden="false" customHeight="false" outlineLevel="0" collapsed="false">
      <c r="A13" s="21" t="s">
        <v>472</v>
      </c>
      <c r="B13" s="18" t="s">
        <v>112</v>
      </c>
      <c r="C13" s="19" t="s">
        <v>150</v>
      </c>
      <c r="D13" s="18" t="s">
        <v>473</v>
      </c>
      <c r="E13" s="18"/>
      <c r="F13" s="18"/>
      <c r="G13" s="18" t="s">
        <v>158</v>
      </c>
    </row>
    <row r="14" customFormat="false" ht="15" hidden="false" customHeight="false" outlineLevel="0" collapsed="false">
      <c r="A14" s="21" t="s">
        <v>448</v>
      </c>
      <c r="B14" s="18" t="s">
        <v>154</v>
      </c>
      <c r="C14" s="19" t="s">
        <v>106</v>
      </c>
      <c r="D14" s="18" t="s">
        <v>474</v>
      </c>
      <c r="E14" s="18" t="s">
        <v>475</v>
      </c>
      <c r="F14" s="18"/>
      <c r="G14" s="18"/>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9E63"/>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53</v>
      </c>
    </row>
    <row r="2" customFormat="false" ht="15" hidden="false" customHeight="false" outlineLevel="0" collapsed="false">
      <c r="A2" s="2" t="s">
        <v>476</v>
      </c>
    </row>
    <row r="3" customFormat="false" ht="15" hidden="false" customHeight="false" outlineLevel="0" collapsed="false">
      <c r="A3" s="15" t="s">
        <v>55</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3" t="s">
        <v>104</v>
      </c>
      <c r="B6" s="18" t="s">
        <v>105</v>
      </c>
      <c r="C6" s="19" t="s">
        <v>106</v>
      </c>
      <c r="D6" s="18" t="s">
        <v>477</v>
      </c>
      <c r="E6" s="18" t="s">
        <v>108</v>
      </c>
      <c r="F6" s="18"/>
      <c r="G6" s="18" t="s">
        <v>478</v>
      </c>
    </row>
    <row r="7" customFormat="false" ht="15" hidden="false" customHeight="false" outlineLevel="0" collapsed="false">
      <c r="A7" s="23" t="s">
        <v>171</v>
      </c>
      <c r="B7" s="18" t="s">
        <v>105</v>
      </c>
      <c r="C7" s="19" t="s">
        <v>150</v>
      </c>
      <c r="D7" s="18" t="s">
        <v>479</v>
      </c>
      <c r="E7" s="20" t="s">
        <v>195</v>
      </c>
      <c r="F7" s="18"/>
      <c r="G7" s="18" t="s">
        <v>174</v>
      </c>
    </row>
    <row r="8" customFormat="false" ht="15" hidden="false" customHeight="false" outlineLevel="0" collapsed="false">
      <c r="A8" s="23" t="s">
        <v>480</v>
      </c>
      <c r="B8" s="18" t="s">
        <v>154</v>
      </c>
      <c r="C8" s="19" t="s">
        <v>106</v>
      </c>
      <c r="D8" s="18" t="s">
        <v>481</v>
      </c>
      <c r="E8" s="18"/>
      <c r="F8" s="18"/>
      <c r="G8" s="18" t="s">
        <v>478</v>
      </c>
    </row>
    <row r="9" customFormat="false" ht="15" hidden="false" customHeight="false" outlineLevel="0" collapsed="false">
      <c r="A9" s="23" t="s">
        <v>482</v>
      </c>
      <c r="B9" s="18" t="s">
        <v>129</v>
      </c>
      <c r="C9" s="19" t="s">
        <v>106</v>
      </c>
      <c r="D9" s="18" t="s">
        <v>483</v>
      </c>
      <c r="E9" s="20" t="s">
        <v>484</v>
      </c>
      <c r="F9" s="18" t="s">
        <v>132</v>
      </c>
      <c r="G9" s="18" t="s">
        <v>478</v>
      </c>
    </row>
    <row r="10" customFormat="false" ht="26.85" hidden="false" customHeight="false" outlineLevel="0" collapsed="false">
      <c r="A10" s="23" t="s">
        <v>485</v>
      </c>
      <c r="B10" s="18" t="s">
        <v>112</v>
      </c>
      <c r="C10" s="19" t="s">
        <v>106</v>
      </c>
      <c r="D10" s="18" t="s">
        <v>486</v>
      </c>
      <c r="E10" s="18" t="s">
        <v>487</v>
      </c>
      <c r="F10" s="18" t="s">
        <v>488</v>
      </c>
      <c r="G10" s="18" t="s">
        <v>478</v>
      </c>
    </row>
    <row r="11" customFormat="false" ht="15" hidden="false" customHeight="false" outlineLevel="0" collapsed="false">
      <c r="A11" s="23" t="s">
        <v>489</v>
      </c>
      <c r="B11" s="18" t="s">
        <v>129</v>
      </c>
      <c r="C11" s="19" t="s">
        <v>150</v>
      </c>
      <c r="D11" s="18" t="s">
        <v>490</v>
      </c>
      <c r="E11" s="18" t="s">
        <v>491</v>
      </c>
      <c r="F11" s="18" t="s">
        <v>492</v>
      </c>
      <c r="G11" s="18" t="s">
        <v>478</v>
      </c>
    </row>
    <row r="12" customFormat="false" ht="26.85" hidden="false" customHeight="false" outlineLevel="0" collapsed="false">
      <c r="A12" s="23" t="s">
        <v>493</v>
      </c>
      <c r="B12" s="18" t="s">
        <v>129</v>
      </c>
      <c r="C12" s="19" t="s">
        <v>150</v>
      </c>
      <c r="D12" s="18" t="s">
        <v>494</v>
      </c>
      <c r="E12" s="18" t="s">
        <v>495</v>
      </c>
      <c r="F12" s="18" t="s">
        <v>132</v>
      </c>
      <c r="G12" s="18" t="s">
        <v>478</v>
      </c>
    </row>
    <row r="13" customFormat="false" ht="15" hidden="false" customHeight="false" outlineLevel="0" collapsed="false">
      <c r="A13" s="23" t="s">
        <v>472</v>
      </c>
      <c r="B13" s="18" t="s">
        <v>112</v>
      </c>
      <c r="C13" s="19" t="s">
        <v>150</v>
      </c>
      <c r="D13" s="18" t="s">
        <v>473</v>
      </c>
      <c r="E13" s="18"/>
      <c r="F13" s="18"/>
      <c r="G13" s="18" t="s">
        <v>478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56</v>
      </c>
    </row>
    <row r="2" customFormat="false" ht="15" hidden="false" customHeight="false" outlineLevel="0" collapsed="false">
      <c r="A2" s="2" t="s">
        <v>496</v>
      </c>
    </row>
    <row r="3" customFormat="false" ht="15" hidden="false" customHeight="false" outlineLevel="0" collapsed="false">
      <c r="A3" s="15" t="s">
        <v>59</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497</v>
      </c>
      <c r="E6" s="18" t="s">
        <v>108</v>
      </c>
      <c r="F6" s="18" t="s">
        <v>498</v>
      </c>
      <c r="G6" s="18" t="s">
        <v>499</v>
      </c>
    </row>
    <row r="7" customFormat="false" ht="15" hidden="false" customHeight="false" outlineLevel="0" collapsed="false">
      <c r="A7" s="17" t="s">
        <v>171</v>
      </c>
      <c r="B7" s="18" t="s">
        <v>105</v>
      </c>
      <c r="C7" s="19" t="s">
        <v>150</v>
      </c>
      <c r="D7" s="18" t="s">
        <v>500</v>
      </c>
      <c r="E7" s="20" t="s">
        <v>501</v>
      </c>
      <c r="F7" s="18"/>
      <c r="G7" s="18" t="s">
        <v>499</v>
      </c>
    </row>
    <row r="8" customFormat="false" ht="15" hidden="false" customHeight="false" outlineLevel="0" collapsed="false">
      <c r="A8" s="17" t="s">
        <v>502</v>
      </c>
      <c r="B8" s="18" t="s">
        <v>112</v>
      </c>
      <c r="C8" s="19" t="s">
        <v>106</v>
      </c>
      <c r="D8" s="18" t="s">
        <v>503</v>
      </c>
      <c r="E8" s="18" t="s">
        <v>504</v>
      </c>
      <c r="F8" s="18" t="s">
        <v>505</v>
      </c>
      <c r="G8" s="18" t="s">
        <v>499</v>
      </c>
    </row>
    <row r="9" customFormat="false" ht="15" hidden="false" customHeight="false" outlineLevel="0" collapsed="false">
      <c r="A9" s="17" t="s">
        <v>175</v>
      </c>
      <c r="B9" s="18" t="s">
        <v>112</v>
      </c>
      <c r="C9" s="19" t="s">
        <v>106</v>
      </c>
      <c r="D9" s="18" t="s">
        <v>506</v>
      </c>
      <c r="E9" s="18" t="s">
        <v>118</v>
      </c>
      <c r="F9" s="18" t="s">
        <v>507</v>
      </c>
      <c r="G9" s="18" t="s">
        <v>508</v>
      </c>
    </row>
    <row r="10" customFormat="false" ht="15" hidden="false" customHeight="false" outlineLevel="0" collapsed="false">
      <c r="A10" s="17" t="s">
        <v>238</v>
      </c>
      <c r="B10" s="18" t="s">
        <v>112</v>
      </c>
      <c r="C10" s="19" t="s">
        <v>150</v>
      </c>
      <c r="D10" s="18" t="s">
        <v>509</v>
      </c>
      <c r="E10" s="18" t="s">
        <v>510</v>
      </c>
      <c r="F10" s="18"/>
      <c r="G10" s="18" t="s">
        <v>508</v>
      </c>
    </row>
    <row r="11" customFormat="false" ht="15" hidden="false" customHeight="false" outlineLevel="0" collapsed="false">
      <c r="A11" s="17" t="s">
        <v>511</v>
      </c>
      <c r="B11" s="18" t="s">
        <v>112</v>
      </c>
      <c r="C11" s="19" t="s">
        <v>106</v>
      </c>
      <c r="D11" s="18" t="s">
        <v>512</v>
      </c>
      <c r="E11" s="18" t="s">
        <v>513</v>
      </c>
      <c r="F11" s="18" t="s">
        <v>514</v>
      </c>
      <c r="G11" s="18" t="s">
        <v>499</v>
      </c>
    </row>
    <row r="12" customFormat="false" ht="26.85" hidden="false" customHeight="false" outlineLevel="0" collapsed="false">
      <c r="A12" s="17" t="s">
        <v>515</v>
      </c>
      <c r="B12" s="18" t="s">
        <v>112</v>
      </c>
      <c r="C12" s="19" t="s">
        <v>106</v>
      </c>
      <c r="D12" s="18" t="s">
        <v>516</v>
      </c>
      <c r="E12" s="18" t="s">
        <v>517</v>
      </c>
      <c r="F12" s="18" t="s">
        <v>518</v>
      </c>
      <c r="G12" s="18" t="s">
        <v>499</v>
      </c>
    </row>
    <row r="13" customFormat="false" ht="26.85" hidden="false" customHeight="false" outlineLevel="0" collapsed="false">
      <c r="A13" s="17" t="s">
        <v>519</v>
      </c>
      <c r="B13" s="18" t="s">
        <v>201</v>
      </c>
      <c r="C13" s="19" t="s">
        <v>150</v>
      </c>
      <c r="D13" s="18" t="s">
        <v>520</v>
      </c>
      <c r="E13" s="18" t="s">
        <v>521</v>
      </c>
      <c r="F13" s="18" t="s">
        <v>522</v>
      </c>
      <c r="G13" s="18" t="s">
        <v>499</v>
      </c>
    </row>
    <row r="14" customFormat="false" ht="26.85" hidden="false" customHeight="false" outlineLevel="0" collapsed="false">
      <c r="A14" s="17" t="s">
        <v>523</v>
      </c>
      <c r="B14" s="18" t="s">
        <v>246</v>
      </c>
      <c r="C14" s="19" t="s">
        <v>106</v>
      </c>
      <c r="D14" s="18" t="s">
        <v>524</v>
      </c>
      <c r="E14" s="18"/>
      <c r="F14" s="18" t="s">
        <v>248</v>
      </c>
      <c r="G14" s="18" t="s">
        <v>525</v>
      </c>
    </row>
    <row r="15" customFormat="false" ht="15" hidden="false" customHeight="false" outlineLevel="0" collapsed="false">
      <c r="A15" s="17" t="s">
        <v>348</v>
      </c>
      <c r="B15" s="18" t="s">
        <v>201</v>
      </c>
      <c r="C15" s="19" t="s">
        <v>106</v>
      </c>
      <c r="D15" s="18" t="s">
        <v>349</v>
      </c>
      <c r="E15" s="18"/>
      <c r="F15" s="18" t="s">
        <v>350</v>
      </c>
      <c r="G15" s="18"/>
    </row>
    <row r="16" customFormat="false" ht="15" hidden="false" customHeight="false" outlineLevel="0" collapsed="false">
      <c r="A16" s="17" t="s">
        <v>145</v>
      </c>
      <c r="B16" s="18" t="s">
        <v>112</v>
      </c>
      <c r="C16" s="19" t="s">
        <v>106</v>
      </c>
      <c r="D16" s="18" t="s">
        <v>329</v>
      </c>
      <c r="E16" s="18" t="s">
        <v>526</v>
      </c>
      <c r="F16" s="18" t="s">
        <v>148</v>
      </c>
      <c r="G16" s="18" t="s">
        <v>187</v>
      </c>
    </row>
    <row r="17" customFormat="false" ht="15" hidden="false" customHeight="false" outlineLevel="0" collapsed="false">
      <c r="A17" s="17" t="s">
        <v>153</v>
      </c>
      <c r="B17" s="18" t="s">
        <v>154</v>
      </c>
      <c r="C17" s="19" t="s">
        <v>106</v>
      </c>
      <c r="D17" s="18" t="s">
        <v>155</v>
      </c>
      <c r="E17" s="18" t="s">
        <v>156</v>
      </c>
      <c r="F17" s="18" t="s">
        <v>157</v>
      </c>
      <c r="G17" s="18" t="s">
        <v>158</v>
      </c>
    </row>
    <row r="18" customFormat="false" ht="15" hidden="false" customHeight="false" outlineLevel="0" collapsed="false">
      <c r="A18" s="17" t="s">
        <v>159</v>
      </c>
      <c r="B18" s="18" t="s">
        <v>105</v>
      </c>
      <c r="C18" s="19" t="s">
        <v>106</v>
      </c>
      <c r="D18" s="18" t="s">
        <v>160</v>
      </c>
      <c r="E18" s="20" t="s">
        <v>161</v>
      </c>
      <c r="F18" s="18" t="s">
        <v>162</v>
      </c>
      <c r="G18" s="18" t="s">
        <v>158</v>
      </c>
    </row>
    <row r="19" customFormat="false" ht="15" hidden="false" customHeight="false" outlineLevel="0" collapsed="false">
      <c r="A19" s="17" t="s">
        <v>163</v>
      </c>
      <c r="B19" s="18" t="s">
        <v>154</v>
      </c>
      <c r="C19" s="19" t="s">
        <v>106</v>
      </c>
      <c r="D19" s="18" t="s">
        <v>164</v>
      </c>
      <c r="E19" s="18" t="s">
        <v>156</v>
      </c>
      <c r="F19" s="18" t="s">
        <v>157</v>
      </c>
      <c r="G19" s="18" t="s">
        <v>158</v>
      </c>
    </row>
    <row r="20" customFormat="false" ht="15" hidden="false" customHeight="false" outlineLevel="0" collapsed="false">
      <c r="A20" s="17" t="s">
        <v>165</v>
      </c>
      <c r="B20" s="18" t="s">
        <v>105</v>
      </c>
      <c r="C20" s="19" t="s">
        <v>106</v>
      </c>
      <c r="D20" s="18" t="s">
        <v>166</v>
      </c>
      <c r="E20" s="20" t="s">
        <v>167</v>
      </c>
      <c r="F20" s="18" t="s">
        <v>162</v>
      </c>
      <c r="G20"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60</v>
      </c>
    </row>
    <row r="2" customFormat="false" ht="15" hidden="false" customHeight="false" outlineLevel="0" collapsed="false">
      <c r="A2" s="2" t="s">
        <v>527</v>
      </c>
    </row>
    <row r="3" customFormat="false" ht="15" hidden="false" customHeight="false" outlineLevel="0" collapsed="false">
      <c r="A3" s="15" t="s">
        <v>62</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112</v>
      </c>
      <c r="C6" s="19" t="s">
        <v>106</v>
      </c>
      <c r="D6" s="18" t="s">
        <v>314</v>
      </c>
      <c r="E6" s="18" t="s">
        <v>315</v>
      </c>
      <c r="F6" s="18" t="s">
        <v>528</v>
      </c>
      <c r="G6" s="18" t="s">
        <v>499</v>
      </c>
    </row>
    <row r="7" customFormat="false" ht="26.85" hidden="false" customHeight="false" outlineLevel="0" collapsed="false">
      <c r="A7" s="17" t="s">
        <v>175</v>
      </c>
      <c r="B7" s="18" t="s">
        <v>112</v>
      </c>
      <c r="C7" s="19" t="s">
        <v>106</v>
      </c>
      <c r="D7" s="18" t="s">
        <v>317</v>
      </c>
      <c r="E7" s="18"/>
      <c r="F7" s="18" t="s">
        <v>529</v>
      </c>
      <c r="G7" s="18" t="s">
        <v>530</v>
      </c>
    </row>
    <row r="8" customFormat="false" ht="52.2" hidden="false" customHeight="false" outlineLevel="0" collapsed="false">
      <c r="A8" s="17" t="s">
        <v>531</v>
      </c>
      <c r="B8" s="18" t="s">
        <v>286</v>
      </c>
      <c r="C8" s="19" t="s">
        <v>106</v>
      </c>
      <c r="D8" s="18" t="s">
        <v>532</v>
      </c>
      <c r="E8" s="18" t="s">
        <v>533</v>
      </c>
      <c r="F8" s="18" t="s">
        <v>534</v>
      </c>
      <c r="G8" s="18" t="s">
        <v>530</v>
      </c>
    </row>
    <row r="9" customFormat="false" ht="26.85" hidden="false" customHeight="false" outlineLevel="0" collapsed="false">
      <c r="A9" s="17" t="s">
        <v>535</v>
      </c>
      <c r="B9" s="18" t="s">
        <v>286</v>
      </c>
      <c r="C9" s="19" t="s">
        <v>150</v>
      </c>
      <c r="D9" s="18" t="s">
        <v>536</v>
      </c>
      <c r="E9" s="18" t="s">
        <v>537</v>
      </c>
      <c r="F9" s="18" t="s">
        <v>538</v>
      </c>
      <c r="G9" s="18" t="s">
        <v>539</v>
      </c>
    </row>
    <row r="10" customFormat="false" ht="26.85" hidden="false" customHeight="false" outlineLevel="0" collapsed="false">
      <c r="A10" s="17" t="s">
        <v>519</v>
      </c>
      <c r="B10" s="18" t="s">
        <v>201</v>
      </c>
      <c r="C10" s="19" t="s">
        <v>106</v>
      </c>
      <c r="D10" s="18" t="s">
        <v>540</v>
      </c>
      <c r="E10" s="18" t="s">
        <v>541</v>
      </c>
      <c r="F10" s="18" t="s">
        <v>542</v>
      </c>
      <c r="G10" s="18" t="s">
        <v>530</v>
      </c>
    </row>
    <row r="11" customFormat="false" ht="15" hidden="false" customHeight="false" outlineLevel="0" collapsed="false">
      <c r="A11" s="17" t="s">
        <v>543</v>
      </c>
      <c r="B11" s="18" t="s">
        <v>207</v>
      </c>
      <c r="C11" s="19" t="s">
        <v>106</v>
      </c>
      <c r="D11" s="18" t="s">
        <v>544</v>
      </c>
      <c r="E11" s="18"/>
      <c r="F11" s="18" t="s">
        <v>545</v>
      </c>
      <c r="G11" s="18" t="s">
        <v>546</v>
      </c>
    </row>
    <row r="12" customFormat="false" ht="15" hidden="false" customHeight="false" outlineLevel="0" collapsed="false">
      <c r="A12" s="17" t="s">
        <v>145</v>
      </c>
      <c r="B12" s="18" t="s">
        <v>112</v>
      </c>
      <c r="C12" s="19" t="s">
        <v>106</v>
      </c>
      <c r="D12" s="18" t="s">
        <v>329</v>
      </c>
      <c r="E12" s="18" t="s">
        <v>262</v>
      </c>
      <c r="F12" s="18" t="s">
        <v>148</v>
      </c>
      <c r="G12" s="18" t="s">
        <v>187</v>
      </c>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7DD"/>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63</v>
      </c>
    </row>
    <row r="2" customFormat="false" ht="15" hidden="false" customHeight="false" outlineLevel="0" collapsed="false">
      <c r="A2" s="2" t="s">
        <v>547</v>
      </c>
    </row>
    <row r="3" customFormat="false" ht="15" hidden="false" customHeight="false" outlineLevel="0" collapsed="false">
      <c r="A3" s="15" t="s">
        <v>65</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2" t="s">
        <v>104</v>
      </c>
      <c r="B6" s="18" t="s">
        <v>105</v>
      </c>
      <c r="C6" s="19" t="s">
        <v>106</v>
      </c>
      <c r="D6" s="18" t="s">
        <v>548</v>
      </c>
      <c r="E6" s="18" t="s">
        <v>549</v>
      </c>
      <c r="F6" s="18" t="s">
        <v>109</v>
      </c>
      <c r="G6" s="18" t="s">
        <v>499</v>
      </c>
    </row>
    <row r="7" customFormat="false" ht="26.85" hidden="false" customHeight="false" outlineLevel="0" collapsed="false">
      <c r="A7" s="22" t="s">
        <v>550</v>
      </c>
      <c r="B7" s="18" t="s">
        <v>129</v>
      </c>
      <c r="C7" s="19" t="s">
        <v>106</v>
      </c>
      <c r="D7" s="18" t="s">
        <v>551</v>
      </c>
      <c r="E7" s="18" t="s">
        <v>552</v>
      </c>
      <c r="F7" s="18" t="s">
        <v>553</v>
      </c>
      <c r="G7" s="18" t="s">
        <v>499</v>
      </c>
    </row>
    <row r="8" customFormat="false" ht="26.85" hidden="false" customHeight="false" outlineLevel="0" collapsed="false">
      <c r="A8" s="22" t="s">
        <v>554</v>
      </c>
      <c r="B8" s="18" t="s">
        <v>286</v>
      </c>
      <c r="C8" s="19" t="s">
        <v>150</v>
      </c>
      <c r="D8" s="18" t="s">
        <v>555</v>
      </c>
      <c r="E8" s="20" t="s">
        <v>556</v>
      </c>
      <c r="F8" s="18" t="s">
        <v>557</v>
      </c>
      <c r="G8" s="18" t="s">
        <v>558</v>
      </c>
    </row>
    <row r="9" customFormat="false" ht="26.85" hidden="false" customHeight="false" outlineLevel="0" collapsed="false">
      <c r="A9" s="22" t="s">
        <v>559</v>
      </c>
      <c r="B9" s="18" t="s">
        <v>286</v>
      </c>
      <c r="C9" s="19" t="s">
        <v>150</v>
      </c>
      <c r="D9" s="18" t="s">
        <v>560</v>
      </c>
      <c r="E9" s="20" t="s">
        <v>561</v>
      </c>
      <c r="F9" s="18" t="s">
        <v>562</v>
      </c>
      <c r="G9" s="18" t="s">
        <v>499</v>
      </c>
    </row>
    <row r="10" customFormat="false" ht="15" hidden="false" customHeight="false" outlineLevel="0" collapsed="false">
      <c r="A10" s="22" t="s">
        <v>153</v>
      </c>
      <c r="B10" s="18" t="s">
        <v>154</v>
      </c>
      <c r="C10" s="19" t="s">
        <v>106</v>
      </c>
      <c r="D10" s="18" t="s">
        <v>155</v>
      </c>
      <c r="E10" s="18" t="s">
        <v>156</v>
      </c>
      <c r="F10" s="18" t="s">
        <v>157</v>
      </c>
      <c r="G10" s="18" t="s">
        <v>158</v>
      </c>
    </row>
    <row r="11" customFormat="false" ht="15" hidden="false" customHeight="false" outlineLevel="0" collapsed="false">
      <c r="A11" s="22" t="s">
        <v>159</v>
      </c>
      <c r="B11" s="18" t="s">
        <v>105</v>
      </c>
      <c r="C11" s="19" t="s">
        <v>106</v>
      </c>
      <c r="D11" s="18" t="s">
        <v>160</v>
      </c>
      <c r="E11" s="20" t="s">
        <v>161</v>
      </c>
      <c r="F11" s="18" t="s">
        <v>162</v>
      </c>
      <c r="G11" s="18" t="s">
        <v>158</v>
      </c>
    </row>
    <row r="12" customFormat="false" ht="15" hidden="false" customHeight="false" outlineLevel="0" collapsed="false">
      <c r="A12" s="22" t="s">
        <v>163</v>
      </c>
      <c r="B12" s="18" t="s">
        <v>154</v>
      </c>
      <c r="C12" s="19" t="s">
        <v>106</v>
      </c>
      <c r="D12" s="18" t="s">
        <v>164</v>
      </c>
      <c r="E12" s="18" t="s">
        <v>156</v>
      </c>
      <c r="F12" s="18" t="s">
        <v>157</v>
      </c>
      <c r="G12" s="18" t="s">
        <v>158</v>
      </c>
    </row>
    <row r="13" customFormat="false" ht="15" hidden="false" customHeight="false" outlineLevel="0" collapsed="false">
      <c r="A13" s="22" t="s">
        <v>165</v>
      </c>
      <c r="B13" s="18" t="s">
        <v>105</v>
      </c>
      <c r="C13" s="19" t="s">
        <v>106</v>
      </c>
      <c r="D13" s="18" t="s">
        <v>166</v>
      </c>
      <c r="E13" s="20" t="s">
        <v>167</v>
      </c>
      <c r="F13" s="18" t="s">
        <v>162</v>
      </c>
      <c r="G13"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66</v>
      </c>
    </row>
    <row r="2" customFormat="false" ht="15" hidden="false" customHeight="false" outlineLevel="0" collapsed="false">
      <c r="A2" s="2" t="s">
        <v>563</v>
      </c>
    </row>
    <row r="3" customFormat="false" ht="15" hidden="false" customHeight="false" outlineLevel="0" collapsed="false">
      <c r="A3" s="15" t="s">
        <v>68</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564</v>
      </c>
      <c r="E6" s="18" t="s">
        <v>108</v>
      </c>
      <c r="F6" s="18" t="s">
        <v>565</v>
      </c>
      <c r="G6" s="18" t="s">
        <v>499</v>
      </c>
    </row>
    <row r="7" customFormat="false" ht="15" hidden="false" customHeight="false" outlineLevel="0" collapsed="false">
      <c r="A7" s="17" t="s">
        <v>175</v>
      </c>
      <c r="B7" s="18" t="s">
        <v>112</v>
      </c>
      <c r="C7" s="19" t="s">
        <v>106</v>
      </c>
      <c r="D7" s="18" t="s">
        <v>566</v>
      </c>
      <c r="E7" s="18" t="s">
        <v>315</v>
      </c>
      <c r="F7" s="18" t="s">
        <v>567</v>
      </c>
      <c r="G7" s="18" t="s">
        <v>499</v>
      </c>
    </row>
    <row r="8" customFormat="false" ht="26.85" hidden="false" customHeight="false" outlineLevel="0" collapsed="false">
      <c r="A8" s="17" t="s">
        <v>568</v>
      </c>
      <c r="B8" s="18" t="s">
        <v>129</v>
      </c>
      <c r="C8" s="19" t="s">
        <v>106</v>
      </c>
      <c r="D8" s="18" t="s">
        <v>569</v>
      </c>
      <c r="E8" s="18" t="s">
        <v>570</v>
      </c>
      <c r="F8" s="18" t="s">
        <v>571</v>
      </c>
      <c r="G8" s="18" t="s">
        <v>499</v>
      </c>
    </row>
    <row r="9" customFormat="false" ht="15" hidden="false" customHeight="false" outlineLevel="0" collapsed="false">
      <c r="A9" s="17" t="s">
        <v>572</v>
      </c>
      <c r="B9" s="18" t="s">
        <v>112</v>
      </c>
      <c r="C9" s="19" t="s">
        <v>106</v>
      </c>
      <c r="D9" s="18" t="s">
        <v>573</v>
      </c>
      <c r="E9" s="20" t="s">
        <v>574</v>
      </c>
      <c r="F9" s="18" t="s">
        <v>528</v>
      </c>
      <c r="G9" s="18" t="s">
        <v>499</v>
      </c>
    </row>
    <row r="10" customFormat="false" ht="15" hidden="false" customHeight="false" outlineLevel="0" collapsed="false">
      <c r="A10" s="17" t="s">
        <v>575</v>
      </c>
      <c r="B10" s="18" t="s">
        <v>112</v>
      </c>
      <c r="C10" s="19" t="s">
        <v>106</v>
      </c>
      <c r="D10" s="18" t="s">
        <v>576</v>
      </c>
      <c r="E10" s="18" t="s">
        <v>577</v>
      </c>
      <c r="F10" s="18" t="s">
        <v>578</v>
      </c>
      <c r="G10" s="18" t="s">
        <v>499</v>
      </c>
    </row>
    <row r="11" customFormat="false" ht="15" hidden="false" customHeight="false" outlineLevel="0" collapsed="false">
      <c r="A11" s="17" t="s">
        <v>579</v>
      </c>
      <c r="B11" s="18" t="s">
        <v>105</v>
      </c>
      <c r="C11" s="19" t="s">
        <v>106</v>
      </c>
      <c r="D11" s="18" t="s">
        <v>580</v>
      </c>
      <c r="E11" s="20" t="s">
        <v>581</v>
      </c>
      <c r="F11" s="18" t="s">
        <v>582</v>
      </c>
      <c r="G11" s="18" t="s">
        <v>499</v>
      </c>
    </row>
    <row r="12" customFormat="false" ht="15" hidden="false" customHeight="false" outlineLevel="0" collapsed="false">
      <c r="A12" s="17" t="s">
        <v>145</v>
      </c>
      <c r="B12" s="18" t="s">
        <v>112</v>
      </c>
      <c r="C12" s="19" t="s">
        <v>106</v>
      </c>
      <c r="D12" s="18" t="s">
        <v>329</v>
      </c>
      <c r="E12" s="18" t="s">
        <v>262</v>
      </c>
      <c r="F12" s="18" t="s">
        <v>148</v>
      </c>
      <c r="G12" s="18" t="s">
        <v>187</v>
      </c>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69</v>
      </c>
    </row>
    <row r="2" customFormat="false" ht="15" hidden="false" customHeight="false" outlineLevel="0" collapsed="false">
      <c r="A2" s="2" t="s">
        <v>583</v>
      </c>
    </row>
    <row r="3" customFormat="false" ht="15" hidden="false" customHeight="false" outlineLevel="0" collapsed="false">
      <c r="A3" s="15" t="s">
        <v>71</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584</v>
      </c>
      <c r="E6" s="18" t="s">
        <v>108</v>
      </c>
      <c r="F6" s="18" t="s">
        <v>582</v>
      </c>
      <c r="G6" s="18" t="s">
        <v>499</v>
      </c>
    </row>
    <row r="7" customFormat="false" ht="15" hidden="false" customHeight="false" outlineLevel="0" collapsed="false">
      <c r="A7" s="17" t="s">
        <v>171</v>
      </c>
      <c r="B7" s="18" t="s">
        <v>105</v>
      </c>
      <c r="C7" s="19" t="s">
        <v>150</v>
      </c>
      <c r="D7" s="18" t="s">
        <v>585</v>
      </c>
      <c r="E7" s="20" t="s">
        <v>586</v>
      </c>
      <c r="F7" s="18"/>
      <c r="G7" s="18" t="s">
        <v>499</v>
      </c>
    </row>
    <row r="8" customFormat="false" ht="26.85" hidden="false" customHeight="false" outlineLevel="0" collapsed="false">
      <c r="A8" s="17" t="s">
        <v>175</v>
      </c>
      <c r="B8" s="18" t="s">
        <v>112</v>
      </c>
      <c r="C8" s="19" t="s">
        <v>106</v>
      </c>
      <c r="D8" s="18" t="s">
        <v>587</v>
      </c>
      <c r="E8" s="18" t="s">
        <v>588</v>
      </c>
      <c r="F8" s="18" t="s">
        <v>589</v>
      </c>
      <c r="G8" s="18" t="s">
        <v>499</v>
      </c>
    </row>
    <row r="9" customFormat="false" ht="15" hidden="false" customHeight="false" outlineLevel="0" collapsed="false">
      <c r="A9" s="17" t="s">
        <v>590</v>
      </c>
      <c r="B9" s="18" t="s">
        <v>105</v>
      </c>
      <c r="C9" s="19" t="s">
        <v>106</v>
      </c>
      <c r="D9" s="18" t="s">
        <v>591</v>
      </c>
      <c r="E9" s="20" t="s">
        <v>592</v>
      </c>
      <c r="F9" s="18" t="s">
        <v>565</v>
      </c>
      <c r="G9" s="18" t="s">
        <v>499</v>
      </c>
    </row>
    <row r="10" customFormat="false" ht="15" hidden="false" customHeight="false" outlineLevel="0" collapsed="false">
      <c r="A10" s="17" t="s">
        <v>593</v>
      </c>
      <c r="B10" s="18" t="s">
        <v>105</v>
      </c>
      <c r="C10" s="19" t="s">
        <v>150</v>
      </c>
      <c r="D10" s="18" t="s">
        <v>594</v>
      </c>
      <c r="E10" s="20" t="s">
        <v>595</v>
      </c>
      <c r="F10" s="18"/>
      <c r="G10" s="18" t="s">
        <v>499</v>
      </c>
    </row>
    <row r="11" customFormat="false" ht="26.85" hidden="false" customHeight="false" outlineLevel="0" collapsed="false">
      <c r="A11" s="17" t="s">
        <v>596</v>
      </c>
      <c r="B11" s="18" t="s">
        <v>286</v>
      </c>
      <c r="C11" s="19" t="s">
        <v>106</v>
      </c>
      <c r="D11" s="18" t="s">
        <v>597</v>
      </c>
      <c r="E11" s="18" t="s">
        <v>598</v>
      </c>
      <c r="F11" s="18" t="s">
        <v>599</v>
      </c>
      <c r="G11" s="18" t="s">
        <v>525</v>
      </c>
    </row>
    <row r="12" customFormat="false" ht="26.85" hidden="false" customHeight="false" outlineLevel="0" collapsed="false">
      <c r="A12" s="17" t="s">
        <v>293</v>
      </c>
      <c r="B12" s="18" t="s">
        <v>201</v>
      </c>
      <c r="C12" s="19" t="s">
        <v>106</v>
      </c>
      <c r="D12" s="18" t="s">
        <v>304</v>
      </c>
      <c r="E12" s="18" t="s">
        <v>600</v>
      </c>
      <c r="F12" s="18" t="s">
        <v>601</v>
      </c>
      <c r="G12" s="18" t="s">
        <v>187</v>
      </c>
    </row>
    <row r="13" customFormat="false" ht="15" hidden="false" customHeight="false" outlineLevel="0" collapsed="false">
      <c r="A13" s="17" t="s">
        <v>145</v>
      </c>
      <c r="B13" s="18" t="s">
        <v>112</v>
      </c>
      <c r="C13" s="19" t="s">
        <v>106</v>
      </c>
      <c r="D13" s="18" t="s">
        <v>329</v>
      </c>
      <c r="E13" s="18" t="s">
        <v>262</v>
      </c>
      <c r="F13" s="18" t="s">
        <v>148</v>
      </c>
      <c r="G13" s="18" t="s">
        <v>187</v>
      </c>
    </row>
    <row r="14" customFormat="false" ht="15" hidden="false" customHeight="false" outlineLevel="0" collapsed="false">
      <c r="A14" s="17" t="s">
        <v>153</v>
      </c>
      <c r="B14" s="18" t="s">
        <v>154</v>
      </c>
      <c r="C14" s="19" t="s">
        <v>106</v>
      </c>
      <c r="D14" s="18" t="s">
        <v>155</v>
      </c>
      <c r="E14" s="18" t="s">
        <v>156</v>
      </c>
      <c r="F14" s="18" t="s">
        <v>157</v>
      </c>
      <c r="G14" s="18" t="s">
        <v>158</v>
      </c>
    </row>
    <row r="15" customFormat="false" ht="15" hidden="false" customHeight="false" outlineLevel="0" collapsed="false">
      <c r="A15" s="17" t="s">
        <v>159</v>
      </c>
      <c r="B15" s="18" t="s">
        <v>105</v>
      </c>
      <c r="C15" s="19" t="s">
        <v>106</v>
      </c>
      <c r="D15" s="18" t="s">
        <v>160</v>
      </c>
      <c r="E15" s="20" t="s">
        <v>161</v>
      </c>
      <c r="F15" s="18" t="s">
        <v>162</v>
      </c>
      <c r="G15" s="18" t="s">
        <v>158</v>
      </c>
    </row>
    <row r="16" customFormat="false" ht="15" hidden="false" customHeight="false" outlineLevel="0" collapsed="false">
      <c r="A16" s="17" t="s">
        <v>163</v>
      </c>
      <c r="B16" s="18" t="s">
        <v>154</v>
      </c>
      <c r="C16" s="19" t="s">
        <v>106</v>
      </c>
      <c r="D16" s="18" t="s">
        <v>164</v>
      </c>
      <c r="E16" s="18" t="s">
        <v>156</v>
      </c>
      <c r="F16" s="18" t="s">
        <v>157</v>
      </c>
      <c r="G16" s="18" t="s">
        <v>158</v>
      </c>
    </row>
    <row r="17" customFormat="false" ht="15" hidden="false" customHeight="false" outlineLevel="0" collapsed="false">
      <c r="A17" s="17" t="s">
        <v>165</v>
      </c>
      <c r="B17" s="18" t="s">
        <v>105</v>
      </c>
      <c r="C17" s="19" t="s">
        <v>106</v>
      </c>
      <c r="D17" s="18" t="s">
        <v>166</v>
      </c>
      <c r="E17" s="20" t="s">
        <v>167</v>
      </c>
      <c r="F17" s="18" t="s">
        <v>162</v>
      </c>
      <c r="G17"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72</v>
      </c>
    </row>
    <row r="2" customFormat="false" ht="15" hidden="false" customHeight="false" outlineLevel="0" collapsed="false">
      <c r="A2" s="2" t="s">
        <v>313</v>
      </c>
    </row>
    <row r="3" customFormat="false" ht="15" hidden="false" customHeight="false" outlineLevel="0" collapsed="false">
      <c r="A3" s="15" t="s">
        <v>73</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602</v>
      </c>
      <c r="E6" s="18" t="s">
        <v>108</v>
      </c>
      <c r="F6" s="18" t="s">
        <v>603</v>
      </c>
      <c r="G6" s="18" t="s">
        <v>499</v>
      </c>
    </row>
    <row r="7" customFormat="false" ht="15" hidden="false" customHeight="false" outlineLevel="0" collapsed="false">
      <c r="A7" s="17" t="s">
        <v>604</v>
      </c>
      <c r="B7" s="18" t="s">
        <v>112</v>
      </c>
      <c r="C7" s="19" t="s">
        <v>106</v>
      </c>
      <c r="D7" s="18" t="s">
        <v>605</v>
      </c>
      <c r="E7" s="18" t="s">
        <v>606</v>
      </c>
      <c r="F7" s="18" t="s">
        <v>518</v>
      </c>
      <c r="G7" s="18" t="s">
        <v>607</v>
      </c>
    </row>
    <row r="8" customFormat="false" ht="15" hidden="false" customHeight="false" outlineLevel="0" collapsed="false">
      <c r="A8" s="17" t="s">
        <v>608</v>
      </c>
      <c r="B8" s="18" t="s">
        <v>112</v>
      </c>
      <c r="C8" s="19" t="s">
        <v>106</v>
      </c>
      <c r="D8" s="18" t="s">
        <v>609</v>
      </c>
      <c r="E8" s="18"/>
      <c r="F8" s="18" t="s">
        <v>610</v>
      </c>
      <c r="G8" s="18" t="s">
        <v>611</v>
      </c>
    </row>
    <row r="9" customFormat="false" ht="15" hidden="false" customHeight="false" outlineLevel="0" collapsed="false">
      <c r="A9" s="17" t="s">
        <v>612</v>
      </c>
      <c r="B9" s="18" t="s">
        <v>112</v>
      </c>
      <c r="C9" s="19" t="s">
        <v>106</v>
      </c>
      <c r="D9" s="18" t="s">
        <v>613</v>
      </c>
      <c r="E9" s="18" t="s">
        <v>614</v>
      </c>
      <c r="F9" s="18" t="s">
        <v>615</v>
      </c>
      <c r="G9" s="18" t="s">
        <v>611</v>
      </c>
    </row>
    <row r="10" customFormat="false" ht="15" hidden="false" customHeight="false" outlineLevel="0" collapsed="false">
      <c r="A10" s="17" t="s">
        <v>616</v>
      </c>
      <c r="B10" s="18" t="s">
        <v>207</v>
      </c>
      <c r="C10" s="19" t="s">
        <v>150</v>
      </c>
      <c r="D10" s="18" t="s">
        <v>617</v>
      </c>
      <c r="E10" s="20" t="s">
        <v>618</v>
      </c>
      <c r="F10" s="18" t="s">
        <v>619</v>
      </c>
      <c r="G10" s="18" t="s">
        <v>620</v>
      </c>
    </row>
    <row r="11" customFormat="false" ht="15" hidden="false" customHeight="false" outlineLevel="0" collapsed="false">
      <c r="A11" s="17" t="s">
        <v>621</v>
      </c>
      <c r="B11" s="18" t="s">
        <v>129</v>
      </c>
      <c r="C11" s="19" t="s">
        <v>106</v>
      </c>
      <c r="D11" s="18" t="s">
        <v>622</v>
      </c>
      <c r="E11" s="18" t="s">
        <v>623</v>
      </c>
      <c r="F11" s="18" t="s">
        <v>624</v>
      </c>
      <c r="G11" s="18" t="s">
        <v>611</v>
      </c>
    </row>
    <row r="12" customFormat="false" ht="15" hidden="false" customHeight="false" outlineLevel="0" collapsed="false">
      <c r="A12" s="17" t="s">
        <v>145</v>
      </c>
      <c r="B12" s="18" t="s">
        <v>112</v>
      </c>
      <c r="C12" s="19" t="s">
        <v>106</v>
      </c>
      <c r="D12" s="18" t="s">
        <v>329</v>
      </c>
      <c r="E12" s="18" t="s">
        <v>262</v>
      </c>
      <c r="F12" s="18" t="s">
        <v>148</v>
      </c>
      <c r="G12" s="18" t="s">
        <v>187</v>
      </c>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74</v>
      </c>
    </row>
    <row r="2" customFormat="false" ht="15" hidden="false" customHeight="false" outlineLevel="0" collapsed="false">
      <c r="A2" s="2" t="s">
        <v>625</v>
      </c>
    </row>
    <row r="3" customFormat="false" ht="15" hidden="false" customHeight="false" outlineLevel="0" collapsed="false">
      <c r="A3" s="15" t="s">
        <v>76</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626</v>
      </c>
      <c r="E6" s="18" t="s">
        <v>108</v>
      </c>
      <c r="F6" s="18" t="s">
        <v>627</v>
      </c>
      <c r="G6" s="18" t="s">
        <v>499</v>
      </c>
    </row>
    <row r="7" customFormat="false" ht="15" hidden="false" customHeight="false" outlineLevel="0" collapsed="false">
      <c r="A7" s="17" t="s">
        <v>628</v>
      </c>
      <c r="B7" s="18" t="s">
        <v>105</v>
      </c>
      <c r="C7" s="19" t="s">
        <v>106</v>
      </c>
      <c r="D7" s="18" t="s">
        <v>629</v>
      </c>
      <c r="E7" s="20" t="s">
        <v>630</v>
      </c>
      <c r="F7" s="18" t="s">
        <v>603</v>
      </c>
      <c r="G7" s="18" t="s">
        <v>499</v>
      </c>
    </row>
    <row r="8" customFormat="false" ht="15" hidden="false" customHeight="false" outlineLevel="0" collapsed="false">
      <c r="A8" s="17" t="s">
        <v>631</v>
      </c>
      <c r="B8" s="18" t="s">
        <v>112</v>
      </c>
      <c r="C8" s="19" t="s">
        <v>106</v>
      </c>
      <c r="D8" s="18" t="s">
        <v>632</v>
      </c>
      <c r="E8" s="18" t="s">
        <v>633</v>
      </c>
      <c r="F8" s="18" t="s">
        <v>634</v>
      </c>
      <c r="G8" s="18" t="s">
        <v>499</v>
      </c>
    </row>
    <row r="9" customFormat="false" ht="15" hidden="false" customHeight="false" outlineLevel="0" collapsed="false">
      <c r="A9" s="17" t="s">
        <v>171</v>
      </c>
      <c r="B9" s="18" t="s">
        <v>105</v>
      </c>
      <c r="C9" s="19" t="s">
        <v>150</v>
      </c>
      <c r="D9" s="18" t="s">
        <v>635</v>
      </c>
      <c r="E9" s="20" t="s">
        <v>636</v>
      </c>
      <c r="F9" s="18" t="s">
        <v>109</v>
      </c>
      <c r="G9" s="18" t="s">
        <v>499</v>
      </c>
    </row>
    <row r="10" customFormat="false" ht="15" hidden="false" customHeight="false" outlineLevel="0" collapsed="false">
      <c r="A10" s="17" t="s">
        <v>637</v>
      </c>
      <c r="B10" s="18" t="s">
        <v>105</v>
      </c>
      <c r="C10" s="19" t="s">
        <v>150</v>
      </c>
      <c r="D10" s="18" t="s">
        <v>638</v>
      </c>
      <c r="E10" s="20" t="s">
        <v>639</v>
      </c>
      <c r="F10" s="18" t="s">
        <v>170</v>
      </c>
      <c r="G10" s="18" t="s">
        <v>499</v>
      </c>
    </row>
    <row r="11" customFormat="false" ht="15" hidden="false" customHeight="false" outlineLevel="0" collapsed="false">
      <c r="A11" s="17" t="s">
        <v>332</v>
      </c>
      <c r="B11" s="18" t="s">
        <v>112</v>
      </c>
      <c r="C11" s="19" t="s">
        <v>150</v>
      </c>
      <c r="D11" s="18" t="s">
        <v>640</v>
      </c>
      <c r="E11" s="18" t="s">
        <v>641</v>
      </c>
      <c r="F11" s="18" t="s">
        <v>642</v>
      </c>
      <c r="G11" s="18" t="s">
        <v>499</v>
      </c>
    </row>
    <row r="12" customFormat="false" ht="15" hidden="false" customHeight="false" outlineLevel="0" collapsed="false">
      <c r="A12" s="17" t="s">
        <v>145</v>
      </c>
      <c r="B12" s="18" t="s">
        <v>112</v>
      </c>
      <c r="C12" s="19" t="s">
        <v>106</v>
      </c>
      <c r="D12" s="18" t="s">
        <v>643</v>
      </c>
      <c r="E12" s="18" t="s">
        <v>644</v>
      </c>
      <c r="F12" s="18" t="s">
        <v>645</v>
      </c>
      <c r="G12" s="18" t="s">
        <v>499</v>
      </c>
    </row>
    <row r="13" customFormat="false" ht="26.85" hidden="false" customHeight="false" outlineLevel="0" collapsed="false">
      <c r="A13" s="17" t="s">
        <v>646</v>
      </c>
      <c r="B13" s="18" t="s">
        <v>105</v>
      </c>
      <c r="C13" s="19" t="s">
        <v>150</v>
      </c>
      <c r="D13" s="18" t="s">
        <v>647</v>
      </c>
      <c r="E13" s="18" t="s">
        <v>648</v>
      </c>
      <c r="F13" s="18"/>
      <c r="G13" s="18" t="s">
        <v>499</v>
      </c>
    </row>
    <row r="14" customFormat="false" ht="15" hidden="false" customHeight="false" outlineLevel="0" collapsed="false">
      <c r="A14" s="17" t="s">
        <v>649</v>
      </c>
      <c r="B14" s="18" t="s">
        <v>154</v>
      </c>
      <c r="C14" s="19" t="s">
        <v>150</v>
      </c>
      <c r="D14" s="18" t="s">
        <v>650</v>
      </c>
      <c r="E14" s="18"/>
      <c r="F14" s="18"/>
      <c r="G14" s="18" t="s">
        <v>499</v>
      </c>
    </row>
    <row r="15" customFormat="false" ht="15" hidden="false" customHeight="false" outlineLevel="0" collapsed="false">
      <c r="A15" s="17" t="s">
        <v>153</v>
      </c>
      <c r="B15" s="18" t="s">
        <v>154</v>
      </c>
      <c r="C15" s="19" t="s">
        <v>106</v>
      </c>
      <c r="D15" s="18" t="s">
        <v>155</v>
      </c>
      <c r="E15" s="18" t="s">
        <v>156</v>
      </c>
      <c r="F15" s="18" t="s">
        <v>157</v>
      </c>
      <c r="G15" s="18" t="s">
        <v>158</v>
      </c>
    </row>
    <row r="16" customFormat="false" ht="15" hidden="false" customHeight="false" outlineLevel="0" collapsed="false">
      <c r="A16" s="17" t="s">
        <v>159</v>
      </c>
      <c r="B16" s="18" t="s">
        <v>105</v>
      </c>
      <c r="C16" s="19" t="s">
        <v>106</v>
      </c>
      <c r="D16" s="18" t="s">
        <v>160</v>
      </c>
      <c r="E16" s="20" t="s">
        <v>161</v>
      </c>
      <c r="F16" s="18" t="s">
        <v>162</v>
      </c>
      <c r="G16" s="18" t="s">
        <v>158</v>
      </c>
    </row>
    <row r="17" customFormat="false" ht="15" hidden="false" customHeight="false" outlineLevel="0" collapsed="false">
      <c r="A17" s="17" t="s">
        <v>163</v>
      </c>
      <c r="B17" s="18" t="s">
        <v>154</v>
      </c>
      <c r="C17" s="19" t="s">
        <v>106</v>
      </c>
      <c r="D17" s="18" t="s">
        <v>164</v>
      </c>
      <c r="E17" s="18" t="s">
        <v>156</v>
      </c>
      <c r="F17" s="18" t="s">
        <v>157</v>
      </c>
      <c r="G17" s="18" t="s">
        <v>158</v>
      </c>
    </row>
    <row r="18" customFormat="false" ht="15" hidden="false" customHeight="false" outlineLevel="0" collapsed="false">
      <c r="A18" s="17" t="s">
        <v>165</v>
      </c>
      <c r="B18" s="18" t="s">
        <v>105</v>
      </c>
      <c r="C18" s="19" t="s">
        <v>106</v>
      </c>
      <c r="D18" s="18" t="s">
        <v>166</v>
      </c>
      <c r="E18" s="20" t="s">
        <v>167</v>
      </c>
      <c r="F18" s="18" t="s">
        <v>162</v>
      </c>
      <c r="G18"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77</v>
      </c>
    </row>
    <row r="2" customFormat="false" ht="15" hidden="false" customHeight="false" outlineLevel="0" collapsed="false">
      <c r="A2" s="2" t="s">
        <v>563</v>
      </c>
    </row>
    <row r="3" customFormat="false" ht="15" hidden="false" customHeight="false" outlineLevel="0" collapsed="false">
      <c r="A3" s="15" t="s">
        <v>78</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112</v>
      </c>
      <c r="C6" s="19" t="s">
        <v>106</v>
      </c>
      <c r="D6" s="18" t="s">
        <v>314</v>
      </c>
      <c r="E6" s="18" t="s">
        <v>315</v>
      </c>
      <c r="F6" s="18" t="s">
        <v>651</v>
      </c>
      <c r="G6" s="18" t="s">
        <v>611</v>
      </c>
    </row>
    <row r="7" customFormat="false" ht="15" hidden="false" customHeight="false" outlineLevel="0" collapsed="false">
      <c r="A7" s="17" t="s">
        <v>175</v>
      </c>
      <c r="B7" s="18" t="s">
        <v>112</v>
      </c>
      <c r="C7" s="19" t="s">
        <v>106</v>
      </c>
      <c r="D7" s="18" t="s">
        <v>506</v>
      </c>
      <c r="E7" s="18"/>
      <c r="F7" s="18" t="s">
        <v>652</v>
      </c>
      <c r="G7" s="18" t="s">
        <v>653</v>
      </c>
    </row>
    <row r="8" customFormat="false" ht="15" hidden="false" customHeight="false" outlineLevel="0" collapsed="false">
      <c r="A8" s="17" t="s">
        <v>654</v>
      </c>
      <c r="B8" s="18" t="s">
        <v>112</v>
      </c>
      <c r="C8" s="19" t="s">
        <v>106</v>
      </c>
      <c r="D8" s="18" t="s">
        <v>655</v>
      </c>
      <c r="E8" s="18"/>
      <c r="F8" s="18" t="s">
        <v>656</v>
      </c>
      <c r="G8" s="18" t="s">
        <v>620</v>
      </c>
    </row>
    <row r="9" customFormat="false" ht="15" hidden="false" customHeight="false" outlineLevel="0" collapsed="false">
      <c r="A9" s="17" t="s">
        <v>657</v>
      </c>
      <c r="B9" s="18" t="s">
        <v>112</v>
      </c>
      <c r="C9" s="19" t="s">
        <v>106</v>
      </c>
      <c r="D9" s="18" t="s">
        <v>658</v>
      </c>
      <c r="E9" s="18" t="s">
        <v>659</v>
      </c>
      <c r="F9" s="18" t="s">
        <v>518</v>
      </c>
      <c r="G9" s="18" t="s">
        <v>611</v>
      </c>
    </row>
    <row r="10" customFormat="false" ht="15" hidden="false" customHeight="false" outlineLevel="0" collapsed="false">
      <c r="A10" s="17" t="s">
        <v>145</v>
      </c>
      <c r="B10" s="18" t="s">
        <v>112</v>
      </c>
      <c r="C10" s="19" t="s">
        <v>106</v>
      </c>
      <c r="D10" s="18" t="s">
        <v>329</v>
      </c>
      <c r="E10" s="18" t="s">
        <v>262</v>
      </c>
      <c r="F10" s="18" t="s">
        <v>148</v>
      </c>
      <c r="G10" s="18" t="s">
        <v>187</v>
      </c>
    </row>
    <row r="11" customFormat="false" ht="15" hidden="false" customHeight="false" outlineLevel="0" collapsed="false">
      <c r="A11" s="17" t="s">
        <v>153</v>
      </c>
      <c r="B11" s="18" t="s">
        <v>154</v>
      </c>
      <c r="C11" s="19" t="s">
        <v>106</v>
      </c>
      <c r="D11" s="18" t="s">
        <v>155</v>
      </c>
      <c r="E11" s="18" t="s">
        <v>156</v>
      </c>
      <c r="F11" s="18" t="s">
        <v>157</v>
      </c>
      <c r="G11" s="18" t="s">
        <v>158</v>
      </c>
    </row>
    <row r="12" customFormat="false" ht="15" hidden="false" customHeight="false" outlineLevel="0" collapsed="false">
      <c r="A12" s="17" t="s">
        <v>159</v>
      </c>
      <c r="B12" s="18" t="s">
        <v>105</v>
      </c>
      <c r="C12" s="19" t="s">
        <v>106</v>
      </c>
      <c r="D12" s="18" t="s">
        <v>160</v>
      </c>
      <c r="E12" s="20" t="s">
        <v>161</v>
      </c>
      <c r="F12" s="18" t="s">
        <v>162</v>
      </c>
      <c r="G12" s="18" t="s">
        <v>158</v>
      </c>
    </row>
    <row r="13" customFormat="false" ht="15" hidden="false" customHeight="false" outlineLevel="0" collapsed="false">
      <c r="A13" s="17" t="s">
        <v>163</v>
      </c>
      <c r="B13" s="18" t="s">
        <v>154</v>
      </c>
      <c r="C13" s="19" t="s">
        <v>106</v>
      </c>
      <c r="D13" s="18" t="s">
        <v>164</v>
      </c>
      <c r="E13" s="18" t="s">
        <v>156</v>
      </c>
      <c r="F13" s="18" t="s">
        <v>157</v>
      </c>
      <c r="G13" s="18" t="s">
        <v>158</v>
      </c>
    </row>
    <row r="14" customFormat="false" ht="15" hidden="false" customHeight="false" outlineLevel="0" collapsed="false">
      <c r="A14" s="17" t="s">
        <v>165</v>
      </c>
      <c r="B14" s="18" t="s">
        <v>105</v>
      </c>
      <c r="C14" s="19" t="s">
        <v>106</v>
      </c>
      <c r="D14" s="18" t="s">
        <v>166</v>
      </c>
      <c r="E14" s="20" t="s">
        <v>167</v>
      </c>
      <c r="F14" s="18" t="s">
        <v>162</v>
      </c>
      <c r="G14"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79</v>
      </c>
    </row>
    <row r="2" customFormat="false" ht="15" hidden="false" customHeight="false" outlineLevel="0" collapsed="false">
      <c r="A2" s="2" t="s">
        <v>660</v>
      </c>
    </row>
    <row r="3" customFormat="false" ht="15" hidden="false" customHeight="false" outlineLevel="0" collapsed="false">
      <c r="A3" s="15" t="s">
        <v>81</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661</v>
      </c>
      <c r="E6" s="18" t="s">
        <v>108</v>
      </c>
      <c r="F6" s="18"/>
      <c r="G6" s="18" t="s">
        <v>662</v>
      </c>
    </row>
    <row r="7" customFormat="false" ht="15" hidden="false" customHeight="false" outlineLevel="0" collapsed="false">
      <c r="A7" s="17" t="s">
        <v>663</v>
      </c>
      <c r="B7" s="18" t="s">
        <v>112</v>
      </c>
      <c r="C7" s="19" t="s">
        <v>106</v>
      </c>
      <c r="D7" s="18" t="s">
        <v>664</v>
      </c>
      <c r="E7" s="20" t="s">
        <v>618</v>
      </c>
      <c r="F7" s="18" t="s">
        <v>651</v>
      </c>
      <c r="G7" s="18" t="s">
        <v>662</v>
      </c>
    </row>
    <row r="8" customFormat="false" ht="15" hidden="false" customHeight="false" outlineLevel="0" collapsed="false">
      <c r="A8" s="17" t="s">
        <v>568</v>
      </c>
      <c r="B8" s="18" t="s">
        <v>129</v>
      </c>
      <c r="C8" s="19" t="s">
        <v>106</v>
      </c>
      <c r="D8" s="18" t="s">
        <v>569</v>
      </c>
      <c r="E8" s="18" t="s">
        <v>665</v>
      </c>
      <c r="F8" s="18" t="s">
        <v>571</v>
      </c>
      <c r="G8" s="18" t="s">
        <v>662</v>
      </c>
    </row>
    <row r="9" customFormat="false" ht="15" hidden="false" customHeight="false" outlineLevel="0" collapsed="false">
      <c r="A9" s="17" t="s">
        <v>666</v>
      </c>
      <c r="B9" s="18" t="s">
        <v>667</v>
      </c>
      <c r="C9" s="19" t="s">
        <v>106</v>
      </c>
      <c r="D9" s="18" t="s">
        <v>668</v>
      </c>
      <c r="E9" s="18"/>
      <c r="F9" s="18"/>
      <c r="G9" s="18" t="s">
        <v>669</v>
      </c>
    </row>
    <row r="10" customFormat="false" ht="15" hidden="false" customHeight="false" outlineLevel="0" collapsed="false">
      <c r="A10" s="17" t="s">
        <v>670</v>
      </c>
      <c r="B10" s="18" t="s">
        <v>667</v>
      </c>
      <c r="C10" s="19" t="s">
        <v>106</v>
      </c>
      <c r="D10" s="18" t="s">
        <v>671</v>
      </c>
      <c r="E10" s="18" t="s">
        <v>672</v>
      </c>
      <c r="F10" s="18"/>
      <c r="G10" s="18" t="s">
        <v>669</v>
      </c>
    </row>
    <row r="11" customFormat="false" ht="15" hidden="false" customHeight="false" outlineLevel="0" collapsed="false">
      <c r="A11" s="17" t="s">
        <v>511</v>
      </c>
      <c r="B11" s="18" t="s">
        <v>112</v>
      </c>
      <c r="C11" s="19" t="s">
        <v>106</v>
      </c>
      <c r="D11" s="18" t="s">
        <v>673</v>
      </c>
      <c r="E11" s="18" t="s">
        <v>674</v>
      </c>
      <c r="F11" s="18"/>
      <c r="G11" s="18" t="s">
        <v>669</v>
      </c>
    </row>
    <row r="12" customFormat="false" ht="15" hidden="false" customHeight="false" outlineLevel="0" collapsed="false">
      <c r="A12" s="17" t="s">
        <v>293</v>
      </c>
      <c r="B12" s="18" t="s">
        <v>201</v>
      </c>
      <c r="C12" s="19" t="s">
        <v>106</v>
      </c>
      <c r="D12" s="18" t="s">
        <v>675</v>
      </c>
      <c r="E12" s="18" t="s">
        <v>676</v>
      </c>
      <c r="F12" s="18" t="s">
        <v>350</v>
      </c>
      <c r="G12" s="18" t="s">
        <v>669</v>
      </c>
    </row>
    <row r="13" customFormat="false" ht="15" hidden="false" customHeight="false" outlineLevel="0" collapsed="false">
      <c r="A13" s="17" t="s">
        <v>677</v>
      </c>
      <c r="B13" s="18" t="s">
        <v>112</v>
      </c>
      <c r="C13" s="19" t="s">
        <v>106</v>
      </c>
      <c r="D13" s="18" t="s">
        <v>678</v>
      </c>
      <c r="E13" s="18"/>
      <c r="F13" s="18"/>
      <c r="G13" s="18" t="s">
        <v>669</v>
      </c>
    </row>
    <row r="14" customFormat="false" ht="15" hidden="false" customHeight="false" outlineLevel="0" collapsed="false">
      <c r="A14" s="17" t="s">
        <v>679</v>
      </c>
      <c r="B14" s="18" t="s">
        <v>154</v>
      </c>
      <c r="C14" s="19" t="s">
        <v>106</v>
      </c>
      <c r="D14" s="18" t="s">
        <v>680</v>
      </c>
      <c r="E14" s="18"/>
      <c r="F14" s="18"/>
      <c r="G14" s="18" t="s">
        <v>669</v>
      </c>
    </row>
    <row r="15" customFormat="false" ht="15" hidden="false" customHeight="false" outlineLevel="0" collapsed="false">
      <c r="A15" s="17" t="s">
        <v>145</v>
      </c>
      <c r="B15" s="18" t="s">
        <v>112</v>
      </c>
      <c r="C15" s="19" t="s">
        <v>106</v>
      </c>
      <c r="D15" s="18" t="s">
        <v>329</v>
      </c>
      <c r="E15" s="18" t="s">
        <v>681</v>
      </c>
      <c r="F15" s="18" t="s">
        <v>148</v>
      </c>
      <c r="G15" s="18" t="s">
        <v>669</v>
      </c>
    </row>
    <row r="16" customFormat="false" ht="15" hidden="false" customHeight="false" outlineLevel="0" collapsed="false">
      <c r="A16" s="17" t="s">
        <v>153</v>
      </c>
      <c r="B16" s="18" t="s">
        <v>154</v>
      </c>
      <c r="C16" s="19" t="s">
        <v>106</v>
      </c>
      <c r="D16" s="18" t="s">
        <v>155</v>
      </c>
      <c r="E16" s="18" t="s">
        <v>156</v>
      </c>
      <c r="F16" s="18" t="s">
        <v>157</v>
      </c>
      <c r="G16" s="18" t="s">
        <v>158</v>
      </c>
    </row>
    <row r="17" customFormat="false" ht="15" hidden="false" customHeight="false" outlineLevel="0" collapsed="false">
      <c r="A17" s="17" t="s">
        <v>159</v>
      </c>
      <c r="B17" s="18" t="s">
        <v>105</v>
      </c>
      <c r="C17" s="19" t="s">
        <v>106</v>
      </c>
      <c r="D17" s="18" t="s">
        <v>160</v>
      </c>
      <c r="E17" s="20" t="s">
        <v>161</v>
      </c>
      <c r="F17" s="18" t="s">
        <v>162</v>
      </c>
      <c r="G17" s="18" t="s">
        <v>158</v>
      </c>
    </row>
    <row r="18" customFormat="false" ht="15" hidden="false" customHeight="false" outlineLevel="0" collapsed="false">
      <c r="A18" s="17" t="s">
        <v>163</v>
      </c>
      <c r="B18" s="18" t="s">
        <v>154</v>
      </c>
      <c r="C18" s="19" t="s">
        <v>106</v>
      </c>
      <c r="D18" s="18" t="s">
        <v>164</v>
      </c>
      <c r="E18" s="18" t="s">
        <v>156</v>
      </c>
      <c r="F18" s="18" t="s">
        <v>157</v>
      </c>
      <c r="G18" s="18" t="s">
        <v>158</v>
      </c>
    </row>
    <row r="19" customFormat="false" ht="15" hidden="false" customHeight="false" outlineLevel="0" collapsed="false">
      <c r="A19" s="17" t="s">
        <v>165</v>
      </c>
      <c r="B19" s="18" t="s">
        <v>105</v>
      </c>
      <c r="C19" s="19" t="s">
        <v>106</v>
      </c>
      <c r="D19" s="18" t="s">
        <v>166</v>
      </c>
      <c r="E19" s="20" t="s">
        <v>167</v>
      </c>
      <c r="F19" s="18" t="s">
        <v>162</v>
      </c>
      <c r="G19"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7DD"/>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82</v>
      </c>
    </row>
    <row r="2" customFormat="false" ht="15" hidden="false" customHeight="false" outlineLevel="0" collapsed="false">
      <c r="A2" s="2" t="s">
        <v>682</v>
      </c>
    </row>
    <row r="3" customFormat="false" ht="15" hidden="false" customHeight="false" outlineLevel="0" collapsed="false">
      <c r="A3" s="15" t="s">
        <v>84</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22" t="s">
        <v>104</v>
      </c>
      <c r="B6" s="18" t="s">
        <v>105</v>
      </c>
      <c r="C6" s="19" t="s">
        <v>106</v>
      </c>
      <c r="D6" s="18" t="s">
        <v>683</v>
      </c>
      <c r="E6" s="18" t="s">
        <v>108</v>
      </c>
      <c r="F6" s="18"/>
      <c r="G6" s="18" t="s">
        <v>669</v>
      </c>
    </row>
    <row r="7" customFormat="false" ht="15" hidden="false" customHeight="false" outlineLevel="0" collapsed="false">
      <c r="A7" s="22" t="s">
        <v>293</v>
      </c>
      <c r="B7" s="18" t="s">
        <v>201</v>
      </c>
      <c r="C7" s="19" t="s">
        <v>106</v>
      </c>
      <c r="D7" s="18" t="s">
        <v>684</v>
      </c>
      <c r="E7" s="18" t="s">
        <v>685</v>
      </c>
      <c r="F7" s="18" t="s">
        <v>350</v>
      </c>
      <c r="G7" s="18" t="s">
        <v>669</v>
      </c>
    </row>
    <row r="8" customFormat="false" ht="15" hidden="false" customHeight="false" outlineLevel="0" collapsed="false">
      <c r="A8" s="22" t="s">
        <v>686</v>
      </c>
      <c r="B8" s="18" t="s">
        <v>201</v>
      </c>
      <c r="C8" s="19" t="s">
        <v>106</v>
      </c>
      <c r="D8" s="18" t="s">
        <v>687</v>
      </c>
      <c r="E8" s="18"/>
      <c r="F8" s="18"/>
      <c r="G8" s="18" t="s">
        <v>669</v>
      </c>
    </row>
    <row r="9" customFormat="false" ht="15" hidden="false" customHeight="false" outlineLevel="0" collapsed="false">
      <c r="A9" s="22" t="s">
        <v>688</v>
      </c>
      <c r="B9" s="18" t="s">
        <v>201</v>
      </c>
      <c r="C9" s="19" t="s">
        <v>106</v>
      </c>
      <c r="D9" s="18" t="s">
        <v>689</v>
      </c>
      <c r="E9" s="18"/>
      <c r="F9" s="18"/>
      <c r="G9" s="18" t="s">
        <v>669</v>
      </c>
    </row>
    <row r="10" customFormat="false" ht="15" hidden="false" customHeight="false" outlineLevel="0" collapsed="false">
      <c r="A10" s="22" t="s">
        <v>690</v>
      </c>
      <c r="B10" s="18" t="s">
        <v>201</v>
      </c>
      <c r="C10" s="19" t="s">
        <v>106</v>
      </c>
      <c r="D10" s="18" t="s">
        <v>691</v>
      </c>
      <c r="E10" s="18" t="s">
        <v>692</v>
      </c>
      <c r="F10" s="18"/>
      <c r="G10" s="18" t="s">
        <v>669</v>
      </c>
    </row>
    <row r="11" customFormat="false" ht="15" hidden="false" customHeight="false" outlineLevel="0" collapsed="false">
      <c r="A11" s="22" t="s">
        <v>677</v>
      </c>
      <c r="B11" s="18" t="s">
        <v>112</v>
      </c>
      <c r="C11" s="19" t="s">
        <v>106</v>
      </c>
      <c r="D11" s="18" t="s">
        <v>678</v>
      </c>
      <c r="E11" s="18"/>
      <c r="F11" s="18"/>
      <c r="G11" s="18" t="s">
        <v>669</v>
      </c>
    </row>
    <row r="12" customFormat="false" ht="15" hidden="false" customHeight="false" outlineLevel="0" collapsed="false">
      <c r="A12" s="22" t="s">
        <v>679</v>
      </c>
      <c r="B12" s="18" t="s">
        <v>154</v>
      </c>
      <c r="C12" s="19" t="s">
        <v>106</v>
      </c>
      <c r="D12" s="18" t="s">
        <v>680</v>
      </c>
      <c r="E12" s="18"/>
      <c r="F12" s="18"/>
      <c r="G12" s="18" t="s">
        <v>669</v>
      </c>
    </row>
    <row r="13" customFormat="false" ht="15" hidden="false" customHeight="false" outlineLevel="0" collapsed="false">
      <c r="A13" s="22" t="s">
        <v>145</v>
      </c>
      <c r="B13" s="18" t="s">
        <v>112</v>
      </c>
      <c r="C13" s="19" t="s">
        <v>106</v>
      </c>
      <c r="D13" s="18" t="s">
        <v>329</v>
      </c>
      <c r="E13" s="18" t="s">
        <v>681</v>
      </c>
      <c r="F13" s="18" t="s">
        <v>148</v>
      </c>
      <c r="G13" s="18" t="s">
        <v>669</v>
      </c>
    </row>
    <row r="14" customFormat="false" ht="15" hidden="false" customHeight="false" outlineLevel="0" collapsed="false">
      <c r="A14" s="22" t="s">
        <v>153</v>
      </c>
      <c r="B14" s="18" t="s">
        <v>154</v>
      </c>
      <c r="C14" s="19" t="s">
        <v>106</v>
      </c>
      <c r="D14" s="18" t="s">
        <v>155</v>
      </c>
      <c r="E14" s="18" t="s">
        <v>156</v>
      </c>
      <c r="F14" s="18" t="s">
        <v>157</v>
      </c>
      <c r="G14" s="18" t="s">
        <v>158</v>
      </c>
    </row>
    <row r="15" customFormat="false" ht="15" hidden="false" customHeight="false" outlineLevel="0" collapsed="false">
      <c r="A15" s="22" t="s">
        <v>159</v>
      </c>
      <c r="B15" s="18" t="s">
        <v>105</v>
      </c>
      <c r="C15" s="19" t="s">
        <v>106</v>
      </c>
      <c r="D15" s="18" t="s">
        <v>160</v>
      </c>
      <c r="E15" s="20" t="s">
        <v>161</v>
      </c>
      <c r="F15" s="18" t="s">
        <v>162</v>
      </c>
      <c r="G15" s="18" t="s">
        <v>158</v>
      </c>
    </row>
    <row r="16" customFormat="false" ht="15" hidden="false" customHeight="false" outlineLevel="0" collapsed="false">
      <c r="A16" s="22" t="s">
        <v>163</v>
      </c>
      <c r="B16" s="18" t="s">
        <v>154</v>
      </c>
      <c r="C16" s="19" t="s">
        <v>106</v>
      </c>
      <c r="D16" s="18" t="s">
        <v>164</v>
      </c>
      <c r="E16" s="18" t="s">
        <v>156</v>
      </c>
      <c r="F16" s="18" t="s">
        <v>157</v>
      </c>
      <c r="G16" s="18" t="s">
        <v>158</v>
      </c>
    </row>
    <row r="17" customFormat="false" ht="15" hidden="false" customHeight="false" outlineLevel="0" collapsed="false">
      <c r="A17" s="22" t="s">
        <v>165</v>
      </c>
      <c r="B17" s="18" t="s">
        <v>105</v>
      </c>
      <c r="C17" s="19" t="s">
        <v>106</v>
      </c>
      <c r="D17" s="18" t="s">
        <v>166</v>
      </c>
      <c r="E17" s="20" t="s">
        <v>167</v>
      </c>
      <c r="F17" s="18" t="s">
        <v>162</v>
      </c>
      <c r="G17"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85</v>
      </c>
    </row>
    <row r="2" customFormat="false" ht="15" hidden="false" customHeight="false" outlineLevel="0" collapsed="false">
      <c r="A2" s="2" t="s">
        <v>660</v>
      </c>
    </row>
    <row r="3" customFormat="false" ht="15" hidden="false" customHeight="false" outlineLevel="0" collapsed="false">
      <c r="A3" s="15" t="s">
        <v>86</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112</v>
      </c>
      <c r="C6" s="19" t="s">
        <v>106</v>
      </c>
      <c r="D6" s="18" t="s">
        <v>314</v>
      </c>
      <c r="E6" s="18" t="s">
        <v>315</v>
      </c>
      <c r="F6" s="18" t="s">
        <v>693</v>
      </c>
      <c r="G6" s="18" t="s">
        <v>694</v>
      </c>
    </row>
    <row r="7" customFormat="false" ht="15" hidden="false" customHeight="false" outlineLevel="0" collapsed="false">
      <c r="A7" s="17" t="s">
        <v>695</v>
      </c>
      <c r="B7" s="18" t="s">
        <v>112</v>
      </c>
      <c r="C7" s="19" t="s">
        <v>106</v>
      </c>
      <c r="D7" s="18" t="s">
        <v>696</v>
      </c>
      <c r="E7" s="18"/>
      <c r="F7" s="18" t="s">
        <v>697</v>
      </c>
      <c r="G7" s="18" t="s">
        <v>694</v>
      </c>
    </row>
    <row r="8" customFormat="false" ht="15" hidden="false" customHeight="false" outlineLevel="0" collapsed="false">
      <c r="A8" s="17" t="s">
        <v>698</v>
      </c>
      <c r="B8" s="18" t="s">
        <v>207</v>
      </c>
      <c r="C8" s="19" t="s">
        <v>106</v>
      </c>
      <c r="D8" s="18" t="s">
        <v>699</v>
      </c>
      <c r="E8" s="18" t="s">
        <v>700</v>
      </c>
      <c r="F8" s="18" t="s">
        <v>701</v>
      </c>
      <c r="G8" s="18" t="s">
        <v>694</v>
      </c>
    </row>
    <row r="9" customFormat="false" ht="15" hidden="false" customHeight="false" outlineLevel="0" collapsed="false">
      <c r="A9" s="17" t="s">
        <v>145</v>
      </c>
      <c r="B9" s="18" t="s">
        <v>112</v>
      </c>
      <c r="C9" s="19" t="s">
        <v>106</v>
      </c>
      <c r="D9" s="18" t="s">
        <v>329</v>
      </c>
      <c r="E9" s="18" t="s">
        <v>262</v>
      </c>
      <c r="F9" s="18" t="s">
        <v>148</v>
      </c>
      <c r="G9" s="18" t="s">
        <v>694</v>
      </c>
    </row>
    <row r="10" customFormat="false" ht="15" hidden="false" customHeight="false" outlineLevel="0" collapsed="false">
      <c r="A10" s="17" t="s">
        <v>153</v>
      </c>
      <c r="B10" s="18" t="s">
        <v>154</v>
      </c>
      <c r="C10" s="19" t="s">
        <v>106</v>
      </c>
      <c r="D10" s="18" t="s">
        <v>155</v>
      </c>
      <c r="E10" s="18" t="s">
        <v>156</v>
      </c>
      <c r="F10" s="18" t="s">
        <v>157</v>
      </c>
      <c r="G10" s="18" t="s">
        <v>158</v>
      </c>
    </row>
    <row r="11" customFormat="false" ht="15" hidden="false" customHeight="false" outlineLevel="0" collapsed="false">
      <c r="A11" s="17" t="s">
        <v>159</v>
      </c>
      <c r="B11" s="18" t="s">
        <v>105</v>
      </c>
      <c r="C11" s="19" t="s">
        <v>106</v>
      </c>
      <c r="D11" s="18" t="s">
        <v>160</v>
      </c>
      <c r="E11" s="20" t="s">
        <v>161</v>
      </c>
      <c r="F11" s="18" t="s">
        <v>162</v>
      </c>
      <c r="G11" s="18" t="s">
        <v>158</v>
      </c>
    </row>
    <row r="12" customFormat="false" ht="15" hidden="false" customHeight="false" outlineLevel="0" collapsed="false">
      <c r="A12" s="17" t="s">
        <v>163</v>
      </c>
      <c r="B12" s="18" t="s">
        <v>154</v>
      </c>
      <c r="C12" s="19" t="s">
        <v>106</v>
      </c>
      <c r="D12" s="18" t="s">
        <v>164</v>
      </c>
      <c r="E12" s="18" t="s">
        <v>156</v>
      </c>
      <c r="F12" s="18" t="s">
        <v>157</v>
      </c>
      <c r="G12" s="18" t="s">
        <v>158</v>
      </c>
    </row>
    <row r="13" customFormat="false" ht="15" hidden="false" customHeight="false" outlineLevel="0" collapsed="false">
      <c r="A13" s="17" t="s">
        <v>165</v>
      </c>
      <c r="B13" s="18" t="s">
        <v>105</v>
      </c>
      <c r="C13" s="19" t="s">
        <v>106</v>
      </c>
      <c r="D13" s="18" t="s">
        <v>166</v>
      </c>
      <c r="E13" s="20" t="s">
        <v>167</v>
      </c>
      <c r="F13" s="18" t="s">
        <v>162</v>
      </c>
      <c r="G13"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87</v>
      </c>
    </row>
    <row r="2" customFormat="false" ht="15" hidden="false" customHeight="false" outlineLevel="0" collapsed="false">
      <c r="A2" s="2" t="s">
        <v>702</v>
      </c>
    </row>
    <row r="3" customFormat="false" ht="15" hidden="false" customHeight="false" outlineLevel="0" collapsed="false">
      <c r="A3" s="15" t="s">
        <v>89</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703</v>
      </c>
      <c r="E6" s="18" t="s">
        <v>108</v>
      </c>
      <c r="F6" s="18"/>
      <c r="G6" s="18" t="s">
        <v>499</v>
      </c>
    </row>
    <row r="7" customFormat="false" ht="15" hidden="false" customHeight="false" outlineLevel="0" collapsed="false">
      <c r="A7" s="17" t="s">
        <v>171</v>
      </c>
      <c r="B7" s="18" t="s">
        <v>105</v>
      </c>
      <c r="C7" s="19" t="s">
        <v>150</v>
      </c>
      <c r="D7" s="18" t="s">
        <v>704</v>
      </c>
      <c r="E7" s="20" t="s">
        <v>705</v>
      </c>
      <c r="F7" s="18"/>
      <c r="G7" s="18" t="s">
        <v>499</v>
      </c>
    </row>
    <row r="8" customFormat="false" ht="15" hidden="false" customHeight="false" outlineLevel="0" collapsed="false">
      <c r="A8" s="17" t="s">
        <v>706</v>
      </c>
      <c r="B8" s="18" t="s">
        <v>112</v>
      </c>
      <c r="C8" s="19" t="s">
        <v>106</v>
      </c>
      <c r="D8" s="18" t="s">
        <v>707</v>
      </c>
      <c r="E8" s="18" t="s">
        <v>708</v>
      </c>
      <c r="F8" s="18" t="s">
        <v>709</v>
      </c>
      <c r="G8" s="18" t="s">
        <v>710</v>
      </c>
    </row>
    <row r="9" customFormat="false" ht="15" hidden="false" customHeight="false" outlineLevel="0" collapsed="false">
      <c r="A9" s="17" t="s">
        <v>332</v>
      </c>
      <c r="B9" s="18" t="s">
        <v>112</v>
      </c>
      <c r="C9" s="19" t="s">
        <v>106</v>
      </c>
      <c r="D9" s="18" t="s">
        <v>711</v>
      </c>
      <c r="E9" s="18" t="s">
        <v>712</v>
      </c>
      <c r="F9" s="18" t="s">
        <v>713</v>
      </c>
      <c r="G9" s="18" t="s">
        <v>499</v>
      </c>
    </row>
    <row r="10" customFormat="false" ht="15" hidden="false" customHeight="false" outlineLevel="0" collapsed="false">
      <c r="A10" s="17" t="s">
        <v>714</v>
      </c>
      <c r="B10" s="18" t="s">
        <v>246</v>
      </c>
      <c r="C10" s="19" t="s">
        <v>106</v>
      </c>
      <c r="D10" s="18" t="s">
        <v>715</v>
      </c>
      <c r="E10" s="18" t="s">
        <v>716</v>
      </c>
      <c r="F10" s="18" t="s">
        <v>252</v>
      </c>
      <c r="G10" s="18" t="s">
        <v>499</v>
      </c>
    </row>
    <row r="11" customFormat="false" ht="15" hidden="false" customHeight="false" outlineLevel="0" collapsed="false">
      <c r="A11" s="17" t="s">
        <v>348</v>
      </c>
      <c r="B11" s="18" t="s">
        <v>201</v>
      </c>
      <c r="C11" s="19" t="s">
        <v>106</v>
      </c>
      <c r="D11" s="18" t="s">
        <v>349</v>
      </c>
      <c r="E11" s="18"/>
      <c r="F11" s="18" t="s">
        <v>350</v>
      </c>
      <c r="G11" s="18"/>
    </row>
    <row r="12" customFormat="false" ht="26.85" hidden="false" customHeight="false" outlineLevel="0" collapsed="false">
      <c r="A12" s="17" t="s">
        <v>145</v>
      </c>
      <c r="B12" s="18" t="s">
        <v>112</v>
      </c>
      <c r="C12" s="19" t="s">
        <v>106</v>
      </c>
      <c r="D12" s="18" t="s">
        <v>329</v>
      </c>
      <c r="E12" s="18" t="s">
        <v>717</v>
      </c>
      <c r="F12" s="18" t="s">
        <v>148</v>
      </c>
      <c r="G12" s="18" t="s">
        <v>499</v>
      </c>
    </row>
    <row r="13" customFormat="false" ht="15" hidden="false" customHeight="false" outlineLevel="0" collapsed="false">
      <c r="A13" s="17" t="s">
        <v>153</v>
      </c>
      <c r="B13" s="18" t="s">
        <v>154</v>
      </c>
      <c r="C13" s="19" t="s">
        <v>106</v>
      </c>
      <c r="D13" s="18" t="s">
        <v>155</v>
      </c>
      <c r="E13" s="18" t="s">
        <v>156</v>
      </c>
      <c r="F13" s="18" t="s">
        <v>157</v>
      </c>
      <c r="G13" s="18" t="s">
        <v>158</v>
      </c>
    </row>
    <row r="14" customFormat="false" ht="15" hidden="false" customHeight="false" outlineLevel="0" collapsed="false">
      <c r="A14" s="17" t="s">
        <v>159</v>
      </c>
      <c r="B14" s="18" t="s">
        <v>105</v>
      </c>
      <c r="C14" s="19" t="s">
        <v>106</v>
      </c>
      <c r="D14" s="18" t="s">
        <v>160</v>
      </c>
      <c r="E14" s="20" t="s">
        <v>161</v>
      </c>
      <c r="F14" s="18" t="s">
        <v>162</v>
      </c>
      <c r="G14" s="18" t="s">
        <v>158</v>
      </c>
    </row>
    <row r="15" customFormat="false" ht="15" hidden="false" customHeight="false" outlineLevel="0" collapsed="false">
      <c r="A15" s="17" t="s">
        <v>163</v>
      </c>
      <c r="B15" s="18" t="s">
        <v>154</v>
      </c>
      <c r="C15" s="19" t="s">
        <v>106</v>
      </c>
      <c r="D15" s="18" t="s">
        <v>164</v>
      </c>
      <c r="E15" s="18" t="s">
        <v>156</v>
      </c>
      <c r="F15" s="18" t="s">
        <v>157</v>
      </c>
      <c r="G15" s="18" t="s">
        <v>158</v>
      </c>
    </row>
    <row r="16" customFormat="false" ht="15" hidden="false" customHeight="false" outlineLevel="0" collapsed="false">
      <c r="A16" s="17" t="s">
        <v>165</v>
      </c>
      <c r="B16" s="18" t="s">
        <v>105</v>
      </c>
      <c r="C16" s="19" t="s">
        <v>106</v>
      </c>
      <c r="D16" s="18" t="s">
        <v>166</v>
      </c>
      <c r="E16" s="20" t="s">
        <v>167</v>
      </c>
      <c r="F16" s="18" t="s">
        <v>162</v>
      </c>
      <c r="G16"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D1"/>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52"/>
    <col collapsed="false" customWidth="true" hidden="false" outlineLevel="0" max="6" min="6" style="0" width="26"/>
    <col collapsed="false" customWidth="true" hidden="false" outlineLevel="0" max="7" min="7" style="0" width="14"/>
  </cols>
  <sheetData>
    <row r="1" customFormat="false" ht="17.35" hidden="false" customHeight="false" outlineLevel="0" collapsed="false">
      <c r="A1" s="1" t="s">
        <v>90</v>
      </c>
    </row>
    <row r="2" customFormat="false" ht="15" hidden="false" customHeight="false" outlineLevel="0" collapsed="false">
      <c r="A2" s="2" t="s">
        <v>330</v>
      </c>
    </row>
    <row r="3" customFormat="false" ht="15" hidden="false" customHeight="false" outlineLevel="0" collapsed="false">
      <c r="A3" s="15" t="s">
        <v>91</v>
      </c>
    </row>
    <row r="4" customFormat="false" ht="15" hidden="false" customHeight="false" outlineLevel="0" collapsed="false">
      <c r="A4" s="16" t="str">
        <f aca="false">HYPERLINK("#Overview!A1","← Overview")</f>
        <v>← Overview</v>
      </c>
    </row>
    <row r="5" customFormat="false" ht="15" hidden="false" customHeight="false" outlineLevel="0" collapsed="false">
      <c r="A5" s="3" t="s">
        <v>97</v>
      </c>
      <c r="B5" s="3" t="s">
        <v>98</v>
      </c>
      <c r="C5" s="3" t="s">
        <v>99</v>
      </c>
      <c r="D5" s="3" t="s">
        <v>100</v>
      </c>
      <c r="E5" s="3" t="s">
        <v>101</v>
      </c>
      <c r="F5" s="3" t="s">
        <v>102</v>
      </c>
      <c r="G5" s="3" t="s">
        <v>103</v>
      </c>
    </row>
    <row r="6" customFormat="false" ht="15" hidden="false" customHeight="false" outlineLevel="0" collapsed="false">
      <c r="A6" s="17" t="s">
        <v>104</v>
      </c>
      <c r="B6" s="18" t="s">
        <v>105</v>
      </c>
      <c r="C6" s="19" t="s">
        <v>106</v>
      </c>
      <c r="D6" s="18" t="s">
        <v>331</v>
      </c>
      <c r="E6" s="18" t="s">
        <v>108</v>
      </c>
      <c r="F6" s="18"/>
      <c r="G6" s="18" t="s">
        <v>499</v>
      </c>
    </row>
    <row r="7" customFormat="false" ht="15" hidden="false" customHeight="false" outlineLevel="0" collapsed="false">
      <c r="A7" s="17" t="s">
        <v>171</v>
      </c>
      <c r="B7" s="18" t="s">
        <v>105</v>
      </c>
      <c r="C7" s="19" t="s">
        <v>106</v>
      </c>
      <c r="D7" s="18" t="s">
        <v>17</v>
      </c>
      <c r="E7" s="20" t="s">
        <v>195</v>
      </c>
      <c r="F7" s="18" t="s">
        <v>109</v>
      </c>
      <c r="G7" s="18" t="s">
        <v>174</v>
      </c>
    </row>
    <row r="8" customFormat="false" ht="15" hidden="false" customHeight="false" outlineLevel="0" collapsed="false">
      <c r="A8" s="17" t="s">
        <v>332</v>
      </c>
      <c r="B8" s="18" t="s">
        <v>112</v>
      </c>
      <c r="C8" s="19" t="s">
        <v>106</v>
      </c>
      <c r="D8" s="18" t="s">
        <v>333</v>
      </c>
      <c r="E8" s="18" t="s">
        <v>334</v>
      </c>
      <c r="F8" s="18" t="s">
        <v>718</v>
      </c>
      <c r="G8" s="18" t="s">
        <v>499</v>
      </c>
    </row>
    <row r="9" customFormat="false" ht="15" hidden="false" customHeight="false" outlineLevel="0" collapsed="false">
      <c r="A9" s="17" t="s">
        <v>276</v>
      </c>
      <c r="B9" s="18" t="s">
        <v>112</v>
      </c>
      <c r="C9" s="19" t="s">
        <v>106</v>
      </c>
      <c r="D9" s="18" t="s">
        <v>336</v>
      </c>
      <c r="E9" s="18" t="s">
        <v>337</v>
      </c>
      <c r="F9" s="18" t="s">
        <v>338</v>
      </c>
      <c r="G9" s="18" t="s">
        <v>499</v>
      </c>
    </row>
    <row r="10" customFormat="false" ht="15" hidden="false" customHeight="false" outlineLevel="0" collapsed="false">
      <c r="A10" s="17" t="s">
        <v>339</v>
      </c>
      <c r="B10" s="18" t="s">
        <v>207</v>
      </c>
      <c r="C10" s="19" t="s">
        <v>150</v>
      </c>
      <c r="D10" s="18" t="s">
        <v>340</v>
      </c>
      <c r="E10" s="18" t="s">
        <v>341</v>
      </c>
      <c r="F10" s="18"/>
      <c r="G10" s="18" t="s">
        <v>499</v>
      </c>
    </row>
    <row r="11" customFormat="false" ht="15" hidden="false" customHeight="false" outlineLevel="0" collapsed="false">
      <c r="A11" s="17" t="s">
        <v>342</v>
      </c>
      <c r="B11" s="18" t="s">
        <v>246</v>
      </c>
      <c r="C11" s="19" t="s">
        <v>106</v>
      </c>
      <c r="D11" s="18" t="s">
        <v>343</v>
      </c>
      <c r="E11" s="18"/>
      <c r="F11" s="18" t="s">
        <v>252</v>
      </c>
      <c r="G11" s="18" t="s">
        <v>499</v>
      </c>
    </row>
    <row r="12" customFormat="false" ht="15" hidden="false" customHeight="false" outlineLevel="0" collapsed="false">
      <c r="A12" s="17" t="s">
        <v>348</v>
      </c>
      <c r="B12" s="18" t="s">
        <v>201</v>
      </c>
      <c r="C12" s="19" t="s">
        <v>106</v>
      </c>
      <c r="D12" s="18" t="s">
        <v>349</v>
      </c>
      <c r="E12" s="18"/>
      <c r="F12" s="18" t="s">
        <v>350</v>
      </c>
      <c r="G12" s="18"/>
    </row>
    <row r="13" customFormat="false" ht="15" hidden="false" customHeight="false" outlineLevel="0" collapsed="false">
      <c r="A13" s="17" t="s">
        <v>145</v>
      </c>
      <c r="B13" s="18" t="s">
        <v>112</v>
      </c>
      <c r="C13" s="19" t="s">
        <v>106</v>
      </c>
      <c r="D13" s="18" t="s">
        <v>329</v>
      </c>
      <c r="E13" s="18" t="s">
        <v>351</v>
      </c>
      <c r="F13" s="18" t="s">
        <v>148</v>
      </c>
      <c r="G13" s="18" t="s">
        <v>187</v>
      </c>
    </row>
    <row r="14" customFormat="false" ht="15" hidden="false" customHeight="false" outlineLevel="0" collapsed="false">
      <c r="A14" s="17" t="s">
        <v>153</v>
      </c>
      <c r="B14" s="18" t="s">
        <v>154</v>
      </c>
      <c r="C14" s="19" t="s">
        <v>106</v>
      </c>
      <c r="D14" s="18" t="s">
        <v>155</v>
      </c>
      <c r="E14" s="18" t="s">
        <v>156</v>
      </c>
      <c r="F14" s="18" t="s">
        <v>157</v>
      </c>
      <c r="G14" s="18" t="s">
        <v>158</v>
      </c>
    </row>
    <row r="15" customFormat="false" ht="15" hidden="false" customHeight="false" outlineLevel="0" collapsed="false">
      <c r="A15" s="17" t="s">
        <v>159</v>
      </c>
      <c r="B15" s="18" t="s">
        <v>105</v>
      </c>
      <c r="C15" s="19" t="s">
        <v>106</v>
      </c>
      <c r="D15" s="18" t="s">
        <v>160</v>
      </c>
      <c r="E15" s="20" t="s">
        <v>161</v>
      </c>
      <c r="F15" s="18" t="s">
        <v>162</v>
      </c>
      <c r="G15" s="18" t="s">
        <v>158</v>
      </c>
    </row>
    <row r="16" customFormat="false" ht="15" hidden="false" customHeight="false" outlineLevel="0" collapsed="false">
      <c r="A16" s="17" t="s">
        <v>163</v>
      </c>
      <c r="B16" s="18" t="s">
        <v>154</v>
      </c>
      <c r="C16" s="19" t="s">
        <v>106</v>
      </c>
      <c r="D16" s="18" t="s">
        <v>164</v>
      </c>
      <c r="E16" s="18" t="s">
        <v>156</v>
      </c>
      <c r="F16" s="18" t="s">
        <v>157</v>
      </c>
      <c r="G16" s="18" t="s">
        <v>158</v>
      </c>
    </row>
    <row r="17" customFormat="false" ht="15" hidden="false" customHeight="false" outlineLevel="0" collapsed="false">
      <c r="A17" s="17" t="s">
        <v>165</v>
      </c>
      <c r="B17" s="18" t="s">
        <v>105</v>
      </c>
      <c r="C17" s="19" t="s">
        <v>106</v>
      </c>
      <c r="D17" s="18" t="s">
        <v>166</v>
      </c>
      <c r="E17" s="20" t="s">
        <v>167</v>
      </c>
      <c r="F17" s="18" t="s">
        <v>162</v>
      </c>
      <c r="G17" s="18" t="s">
        <v>158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4"/>
    <col collapsed="false" customWidth="true" hidden="false" outlineLevel="0" max="4" min="4" style="0" width="52"/>
  </cols>
  <sheetData>
    <row r="1" customFormat="false" ht="17.35" hidden="false" customHeight="false" outlineLevel="0" collapsed="false">
      <c r="A1" s="1" t="s">
        <v>719</v>
      </c>
    </row>
    <row r="2" customFormat="false" ht="15" hidden="false" customHeight="false" outlineLevel="0" collapsed="false">
      <c r="A2" s="2" t="s">
        <v>720</v>
      </c>
    </row>
    <row r="4" customFormat="false" ht="15" hidden="false" customHeight="false" outlineLevel="0" collapsed="false">
      <c r="A4" s="3" t="s">
        <v>2</v>
      </c>
      <c r="B4" s="3" t="s">
        <v>721</v>
      </c>
      <c r="C4" s="3" t="s">
        <v>722</v>
      </c>
      <c r="D4" s="3" t="s">
        <v>723</v>
      </c>
    </row>
    <row r="5" customFormat="false" ht="15" hidden="false" customHeight="false" outlineLevel="0" collapsed="false">
      <c r="A5" s="24" t="s">
        <v>10</v>
      </c>
      <c r="B5" s="5" t="s">
        <v>724</v>
      </c>
      <c r="C5" s="5" t="s">
        <v>315</v>
      </c>
      <c r="D5" s="5" t="s">
        <v>725</v>
      </c>
    </row>
    <row r="6" customFormat="false" ht="15" hidden="false" customHeight="false" outlineLevel="0" collapsed="false">
      <c r="A6" s="24" t="s">
        <v>10</v>
      </c>
      <c r="B6" s="5" t="s">
        <v>726</v>
      </c>
      <c r="C6" s="5" t="s">
        <v>315</v>
      </c>
      <c r="D6" s="5" t="s">
        <v>725</v>
      </c>
    </row>
    <row r="7" customFormat="false" ht="15" hidden="false" customHeight="false" outlineLevel="0" collapsed="false">
      <c r="A7" s="24" t="s">
        <v>16</v>
      </c>
      <c r="B7" s="5" t="s">
        <v>727</v>
      </c>
      <c r="C7" s="5" t="s">
        <v>315</v>
      </c>
      <c r="D7" s="5" t="s">
        <v>728</v>
      </c>
    </row>
    <row r="8" customFormat="false" ht="15" hidden="false" customHeight="false" outlineLevel="0" collapsed="false">
      <c r="A8" s="24" t="s">
        <v>20</v>
      </c>
      <c r="B8" s="5" t="s">
        <v>729</v>
      </c>
      <c r="C8" s="5" t="s">
        <v>730</v>
      </c>
      <c r="D8" s="5" t="s">
        <v>731</v>
      </c>
    </row>
    <row r="9" customFormat="false" ht="15" hidden="false" customHeight="false" outlineLevel="0" collapsed="false">
      <c r="A9" s="24" t="s">
        <v>27</v>
      </c>
      <c r="B9" s="5" t="s">
        <v>727</v>
      </c>
      <c r="C9" s="5" t="s">
        <v>732</v>
      </c>
      <c r="D9" s="5" t="s">
        <v>733</v>
      </c>
    </row>
    <row r="10" customFormat="false" ht="15" hidden="false" customHeight="false" outlineLevel="0" collapsed="false">
      <c r="A10" s="24" t="s">
        <v>27</v>
      </c>
      <c r="B10" s="5" t="s">
        <v>729</v>
      </c>
      <c r="C10" s="5" t="s">
        <v>734</v>
      </c>
      <c r="D10" s="5" t="s">
        <v>735</v>
      </c>
    </row>
    <row r="11" customFormat="false" ht="15" hidden="false" customHeight="false" outlineLevel="0" collapsed="false">
      <c r="A11" s="24" t="s">
        <v>31</v>
      </c>
      <c r="B11" s="5" t="s">
        <v>736</v>
      </c>
      <c r="C11" s="5" t="s">
        <v>315</v>
      </c>
      <c r="D11" s="5" t="s">
        <v>737</v>
      </c>
    </row>
    <row r="12" customFormat="false" ht="15" hidden="false" customHeight="false" outlineLevel="0" collapsed="false">
      <c r="A12" s="24" t="s">
        <v>38</v>
      </c>
      <c r="B12" s="5" t="s">
        <v>738</v>
      </c>
      <c r="C12" s="5" t="s">
        <v>315</v>
      </c>
      <c r="D12" s="5" t="s">
        <v>739</v>
      </c>
    </row>
    <row r="13" customFormat="false" ht="15" hidden="false" customHeight="false" outlineLevel="0" collapsed="false">
      <c r="A13" s="24" t="s">
        <v>44</v>
      </c>
      <c r="B13" s="5" t="s">
        <v>740</v>
      </c>
      <c r="C13" s="5" t="s">
        <v>732</v>
      </c>
      <c r="D13" s="5" t="s">
        <v>741</v>
      </c>
    </row>
    <row r="14" customFormat="false" ht="15" hidden="false" customHeight="false" outlineLevel="0" collapsed="false">
      <c r="A14" s="24" t="s">
        <v>44</v>
      </c>
      <c r="B14" s="5" t="s">
        <v>729</v>
      </c>
      <c r="C14" s="5" t="s">
        <v>734</v>
      </c>
      <c r="D14" s="5" t="s">
        <v>742</v>
      </c>
    </row>
    <row r="15" customFormat="false" ht="15" hidden="false" customHeight="false" outlineLevel="0" collapsed="false">
      <c r="A15" s="24" t="s">
        <v>44</v>
      </c>
      <c r="B15" s="5" t="s">
        <v>743</v>
      </c>
      <c r="C15" s="5" t="s">
        <v>734</v>
      </c>
      <c r="D15" s="5" t="s">
        <v>744</v>
      </c>
    </row>
    <row r="16" customFormat="false" ht="15" hidden="false" customHeight="false" outlineLevel="0" collapsed="false">
      <c r="A16" s="24" t="s">
        <v>44</v>
      </c>
      <c r="B16" s="5" t="s">
        <v>745</v>
      </c>
      <c r="C16" s="5" t="s">
        <v>734</v>
      </c>
      <c r="D16" s="5" t="s">
        <v>746</v>
      </c>
    </row>
    <row r="17" customFormat="false" ht="15" hidden="false" customHeight="false" outlineLevel="0" collapsed="false">
      <c r="A17" s="24" t="s">
        <v>48</v>
      </c>
      <c r="B17" s="5" t="s">
        <v>747</v>
      </c>
      <c r="C17" s="5" t="s">
        <v>748</v>
      </c>
      <c r="D17" s="5" t="s">
        <v>749</v>
      </c>
    </row>
    <row r="18" customFormat="false" ht="15" hidden="false" customHeight="false" outlineLevel="0" collapsed="false">
      <c r="A18" s="24" t="s">
        <v>48</v>
      </c>
      <c r="B18" s="5" t="s">
        <v>750</v>
      </c>
      <c r="C18" s="5" t="s">
        <v>734</v>
      </c>
      <c r="D18" s="5" t="s">
        <v>751</v>
      </c>
    </row>
    <row r="19" customFormat="false" ht="15" hidden="false" customHeight="false" outlineLevel="0" collapsed="false">
      <c r="A19" s="24" t="s">
        <v>51</v>
      </c>
      <c r="B19" s="5" t="s">
        <v>747</v>
      </c>
      <c r="C19" s="5" t="s">
        <v>748</v>
      </c>
      <c r="D19" s="5" t="s">
        <v>752</v>
      </c>
    </row>
    <row r="20" customFormat="false" ht="15" hidden="false" customHeight="false" outlineLevel="0" collapsed="false">
      <c r="A20" s="24" t="s">
        <v>51</v>
      </c>
      <c r="B20" s="5" t="s">
        <v>753</v>
      </c>
      <c r="C20" s="5" t="s">
        <v>734</v>
      </c>
      <c r="D20" s="5" t="s">
        <v>754</v>
      </c>
    </row>
    <row r="21" customFormat="false" ht="15" hidden="false" customHeight="false" outlineLevel="0" collapsed="false">
      <c r="A21" s="24" t="s">
        <v>53</v>
      </c>
      <c r="B21" s="5" t="s">
        <v>755</v>
      </c>
      <c r="C21" s="5" t="s">
        <v>734</v>
      </c>
      <c r="D21" s="5" t="s">
        <v>756</v>
      </c>
    </row>
    <row r="22" customFormat="false" ht="15" hidden="false" customHeight="false" outlineLevel="0" collapsed="false">
      <c r="A22" s="24" t="s">
        <v>53</v>
      </c>
      <c r="B22" s="5" t="s">
        <v>757</v>
      </c>
      <c r="C22" s="5" t="s">
        <v>734</v>
      </c>
      <c r="D22" s="5" t="s">
        <v>758</v>
      </c>
    </row>
    <row r="23" customFormat="false" ht="15" hidden="false" customHeight="false" outlineLevel="0" collapsed="false">
      <c r="A23" s="24" t="s">
        <v>56</v>
      </c>
      <c r="B23" s="5" t="s">
        <v>759</v>
      </c>
      <c r="C23" s="5" t="s">
        <v>315</v>
      </c>
      <c r="D23" s="5" t="s">
        <v>760</v>
      </c>
    </row>
    <row r="24" customFormat="false" ht="26.85" hidden="false" customHeight="false" outlineLevel="0" collapsed="false">
      <c r="A24" s="24" t="s">
        <v>66</v>
      </c>
      <c r="B24" s="5" t="s">
        <v>761</v>
      </c>
      <c r="C24" s="5" t="s">
        <v>315</v>
      </c>
      <c r="D24" s="5" t="s">
        <v>762</v>
      </c>
    </row>
    <row r="25" customFormat="false" ht="15" hidden="false" customHeight="false" outlineLevel="0" collapsed="false">
      <c r="A25" s="24" t="s">
        <v>69</v>
      </c>
      <c r="B25" s="5" t="s">
        <v>763</v>
      </c>
      <c r="C25" s="5" t="s">
        <v>734</v>
      </c>
      <c r="D25" s="5" t="s">
        <v>764</v>
      </c>
    </row>
    <row r="26" customFormat="false" ht="15" hidden="false" customHeight="false" outlineLevel="0" collapsed="false">
      <c r="A26" s="24" t="s">
        <v>72</v>
      </c>
      <c r="B26" s="5" t="s">
        <v>765</v>
      </c>
      <c r="C26" s="5" t="s">
        <v>315</v>
      </c>
      <c r="D26" s="5" t="s">
        <v>766</v>
      </c>
    </row>
    <row r="27" customFormat="false" ht="15" hidden="false" customHeight="false" outlineLevel="0" collapsed="false">
      <c r="A27" s="24" t="s">
        <v>74</v>
      </c>
      <c r="B27" s="5" t="s">
        <v>767</v>
      </c>
      <c r="C27" s="5" t="s">
        <v>315</v>
      </c>
      <c r="D27" s="5" t="s">
        <v>768</v>
      </c>
    </row>
    <row r="28" customFormat="false" ht="26.85" hidden="false" customHeight="false" outlineLevel="0" collapsed="false">
      <c r="A28" s="24" t="s">
        <v>74</v>
      </c>
      <c r="B28" s="5" t="s">
        <v>769</v>
      </c>
      <c r="C28" s="5" t="s">
        <v>734</v>
      </c>
      <c r="D28" s="5" t="s">
        <v>770</v>
      </c>
    </row>
    <row r="29" customFormat="false" ht="26.85" hidden="false" customHeight="false" outlineLevel="0" collapsed="false">
      <c r="A29" s="24" t="s">
        <v>79</v>
      </c>
      <c r="B29" s="5" t="s">
        <v>771</v>
      </c>
      <c r="C29" s="5" t="s">
        <v>315</v>
      </c>
      <c r="D29" s="5" t="s">
        <v>772</v>
      </c>
    </row>
    <row r="30" customFormat="false" ht="15" hidden="false" customHeight="false" outlineLevel="0" collapsed="false">
      <c r="A30" s="24" t="s">
        <v>82</v>
      </c>
      <c r="B30" s="5" t="s">
        <v>773</v>
      </c>
      <c r="C30" s="5" t="s">
        <v>730</v>
      </c>
      <c r="D30" s="5" t="s">
        <v>774</v>
      </c>
    </row>
    <row r="31" customFormat="false" ht="15" hidden="false" customHeight="false" outlineLevel="0" collapsed="false">
      <c r="A31" s="24" t="s">
        <v>87</v>
      </c>
      <c r="B31" s="5" t="s">
        <v>775</v>
      </c>
      <c r="C31" s="5" t="s">
        <v>315</v>
      </c>
      <c r="D31" s="5" t="s">
        <v>776</v>
      </c>
    </row>
    <row r="32" customFormat="false" ht="15" hidden="false" customHeight="false" outlineLevel="0" collapsed="false">
      <c r="A32" s="24" t="s">
        <v>90</v>
      </c>
      <c r="B32" s="5" t="s">
        <v>738</v>
      </c>
      <c r="C32" s="5" t="s">
        <v>315</v>
      </c>
      <c r="D32" s="5" t="s">
        <v>739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7.35" hidden="false" customHeight="false" outlineLevel="0" collapsed="false">
      <c r="A1" s="1" t="s">
        <v>777</v>
      </c>
    </row>
    <row r="2" customFormat="false" ht="15" hidden="false" customHeight="false" outlineLevel="0" collapsed="false">
      <c r="A2" s="2" t="s">
        <v>778</v>
      </c>
    </row>
    <row r="4" customFormat="false" ht="15" hidden="false" customHeight="false" outlineLevel="0" collapsed="false">
      <c r="A4" s="3" t="s">
        <v>779</v>
      </c>
      <c r="B4" s="3" t="s">
        <v>780</v>
      </c>
    </row>
    <row r="5" customFormat="false" ht="26.85" hidden="false" customHeight="false" outlineLevel="0" collapsed="false">
      <c r="A5" s="25" t="s">
        <v>174</v>
      </c>
      <c r="B5" s="26" t="s">
        <v>781</v>
      </c>
    </row>
    <row r="6" customFormat="false" ht="26.85" hidden="false" customHeight="false" outlineLevel="0" collapsed="false">
      <c r="A6" s="25" t="s">
        <v>782</v>
      </c>
      <c r="B6" s="26" t="s">
        <v>783</v>
      </c>
    </row>
    <row r="7" customFormat="false" ht="26.85" hidden="false" customHeight="false" outlineLevel="0" collapsed="false">
      <c r="A7" s="25" t="s">
        <v>784</v>
      </c>
      <c r="B7" s="26" t="s">
        <v>785</v>
      </c>
    </row>
    <row r="8" customFormat="false" ht="15" hidden="false" customHeight="false" outlineLevel="0" collapsed="false">
      <c r="A8" s="25" t="s">
        <v>786</v>
      </c>
      <c r="B8" s="26" t="s">
        <v>787</v>
      </c>
    </row>
    <row r="9" customFormat="false" ht="26.85" hidden="false" customHeight="false" outlineLevel="0" collapsed="false">
      <c r="A9" s="25" t="s">
        <v>788</v>
      </c>
      <c r="B9" s="26" t="s">
        <v>789</v>
      </c>
    </row>
    <row r="10" customFormat="false" ht="26.85" hidden="false" customHeight="false" outlineLevel="0" collapsed="false">
      <c r="A10" s="25" t="s">
        <v>790</v>
      </c>
      <c r="B10" s="26" t="s">
        <v>791</v>
      </c>
    </row>
    <row r="11" customFormat="false" ht="15" hidden="false" customHeight="false" outlineLevel="0" collapsed="false">
      <c r="A11" s="25" t="s">
        <v>792</v>
      </c>
      <c r="B11" s="26" t="s">
        <v>793</v>
      </c>
    </row>
    <row r="12" customFormat="false" ht="26.85" hidden="false" customHeight="false" outlineLevel="0" collapsed="false">
      <c r="A12" s="25" t="s">
        <v>794</v>
      </c>
      <c r="B12" s="26" t="s">
        <v>795</v>
      </c>
    </row>
    <row r="13" customFormat="false" ht="15" hidden="false" customHeight="false" outlineLevel="0" collapsed="false">
      <c r="A13" s="25" t="s">
        <v>796</v>
      </c>
      <c r="B13" s="26" t="s">
        <v>797</v>
      </c>
    </row>
    <row r="14" customFormat="false" ht="26.85" hidden="false" customHeight="false" outlineLevel="0" collapsed="false">
      <c r="A14" s="25" t="s">
        <v>798</v>
      </c>
      <c r="B14" s="26" t="s">
        <v>799</v>
      </c>
    </row>
    <row r="15" customFormat="false" ht="28.35" hidden="false" customHeight="false" outlineLevel="0" collapsed="false">
      <c r="A15" s="25" t="s">
        <v>800</v>
      </c>
      <c r="B15" s="26" t="s">
        <v>801</v>
      </c>
    </row>
    <row r="16" customFormat="false" ht="26.85" hidden="false" customHeight="false" outlineLevel="0" collapsed="false">
      <c r="A16" s="25" t="s">
        <v>802</v>
      </c>
      <c r="B16" s="26" t="s">
        <v>803</v>
      </c>
    </row>
    <row r="17" customFormat="false" ht="39.55" hidden="false" customHeight="false" outlineLevel="0" collapsed="false">
      <c r="A17" s="25" t="s">
        <v>804</v>
      </c>
      <c r="B17" s="26" t="s">
        <v>805</v>
      </c>
    </row>
    <row r="18" customFormat="false" ht="26.85" hidden="false" customHeight="false" outlineLevel="0" collapsed="false">
      <c r="A18" s="25" t="s">
        <v>806</v>
      </c>
      <c r="B18" s="26" t="s">
        <v>807</v>
      </c>
    </row>
    <row r="19" customFormat="false" ht="26.85" hidden="false" customHeight="false" outlineLevel="0" collapsed="false">
      <c r="A19" s="25" t="s">
        <v>808</v>
      </c>
      <c r="B19" s="26" t="s">
        <v>809</v>
      </c>
    </row>
    <row r="20" customFormat="false" ht="15" hidden="false" customHeight="false" outlineLevel="0" collapsed="false">
      <c r="A20" s="25" t="s">
        <v>810</v>
      </c>
      <c r="B20" s="26" t="s">
        <v>811</v>
      </c>
    </row>
    <row r="21" customFormat="false" ht="15" hidden="false" customHeight="false" outlineLevel="0" collapsed="false">
      <c r="A21" s="25" t="s">
        <v>812</v>
      </c>
      <c r="B21" s="26" t="s">
        <v>813</v>
      </c>
    </row>
    <row r="22" customFormat="false" ht="15" hidden="false" customHeight="false" outlineLevel="0" collapsed="false">
      <c r="A22" s="25" t="s">
        <v>814</v>
      </c>
      <c r="B22" s="26" t="s">
        <v>815</v>
      </c>
    </row>
    <row r="23" customFormat="false" ht="26.85" hidden="false" customHeight="false" outlineLevel="0" collapsed="false">
      <c r="A23" s="27" t="s">
        <v>816</v>
      </c>
      <c r="B23" s="28" t="s">
        <v>817</v>
      </c>
    </row>
    <row r="24" customFormat="false" ht="26.85" hidden="false" customHeight="false" outlineLevel="0" collapsed="false">
      <c r="A24" s="25" t="s">
        <v>818</v>
      </c>
      <c r="B24" s="26" t="s">
        <v>819</v>
      </c>
    </row>
    <row r="25" customFormat="false" ht="15" hidden="false" customHeight="false" outlineLevel="0" collapsed="false">
      <c r="A25" s="27" t="s">
        <v>820</v>
      </c>
      <c r="B25" s="28" t="s">
        <v>821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2026-10-28T13:20:20Z</dcterms:created>
  <dc:creator>openpyxl</dc:creator>
  <dc:description/>
  <dc:language>en-US</dc:language>
  <cp:lastModifiedBy/>
  <dcterms:modified xsi:type="dcterms:W3CDTF">2026-10-28T13:20:20Z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